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q24-my.sharepoint.com/personal/gquezada_icq24_com/Documents/Clientes F9/Insight/AMEX/Match/"/>
    </mc:Choice>
  </mc:AlternateContent>
  <xr:revisionPtr revIDLastSave="46" documentId="8_{1A6E025C-6755-4B56-84D7-F9903073D001}" xr6:coauthVersionLast="47" xr6:coauthVersionMax="47" xr10:uidLastSave="{D14746F6-A507-45EC-8D27-37AF31319EA3}"/>
  <bookViews>
    <workbookView xWindow="20370" yWindow="-120" windowWidth="29040" windowHeight="15720" activeTab="3" xr2:uid="{00000000-000D-0000-FFFF-FFFF00000000}"/>
  </bookViews>
  <sheets>
    <sheet name="Template" sheetId="2" r:id="rId1"/>
    <sheet name="Columnas Reporte" sheetId="3" r:id="rId2"/>
    <sheet name="Odoo Report" sheetId="1" r:id="rId3"/>
    <sheet name="Match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5" i="1" l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</calcChain>
</file>

<file path=xl/sharedStrings.xml><?xml version="1.0" encoding="utf-8"?>
<sst xmlns="http://schemas.openxmlformats.org/spreadsheetml/2006/main" count="1019" uniqueCount="257">
  <si>
    <t>Visitas Optblue New_Id</t>
  </si>
  <si>
    <t>SE 10 Seller Number</t>
  </si>
  <si>
    <t>Target Segmentation</t>
  </si>
  <si>
    <t>Lead List Name</t>
  </si>
  <si>
    <t>Seller ID</t>
  </si>
  <si>
    <t>Seller Legal Name</t>
  </si>
  <si>
    <t>Seller DBA Name</t>
  </si>
  <si>
    <t>Seller Auth Signer First Name</t>
  </si>
  <si>
    <t>Seller Auth Signer Last Name</t>
  </si>
  <si>
    <t>Seller ID Business Phone Number</t>
  </si>
  <si>
    <t>Seller Email Address Text</t>
  </si>
  <si>
    <t>Seller ID Standard Address Line 1 Text</t>
  </si>
  <si>
    <t>Seller ID Standard Address Line 2 Text</t>
  </si>
  <si>
    <t>Seller ID City Name</t>
  </si>
  <si>
    <t>Seller ID Region Area Code</t>
  </si>
  <si>
    <t>Seller ID Postal Code</t>
  </si>
  <si>
    <t>Seller ID Country Code</t>
  </si>
  <si>
    <t>Source Create Date</t>
  </si>
  <si>
    <t>MCC Code</t>
  </si>
  <si>
    <t>MCC Code Description</t>
  </si>
  <si>
    <t>SEIMS Level 1 – Industry Code</t>
  </si>
  <si>
    <t>SEIMS Level 1 – Industry Description
Specific Industry Description</t>
  </si>
  <si>
    <t>Brpad Industry Description</t>
  </si>
  <si>
    <t>Welcome Acceptance Industry</t>
  </si>
  <si>
    <t>Seller Acceptance Status Description</t>
  </si>
  <si>
    <t>Payee Merchant Number</t>
  </si>
  <si>
    <t>Relationship Group Type Description</t>
  </si>
  <si>
    <t>Sales Channel Name</t>
  </si>
  <si>
    <t>Seller Partner Code</t>
  </si>
  <si>
    <t>Submitter ID</t>
  </si>
  <si>
    <t>Submitter Merchant Number</t>
  </si>
  <si>
    <t>TPA Merchant Name</t>
  </si>
  <si>
    <t>TPA Merchant Number</t>
  </si>
  <si>
    <t>Area / Locale</t>
  </si>
  <si>
    <t>Language Preference</t>
  </si>
  <si>
    <t>R12 CV</t>
  </si>
  <si>
    <t>Blitz Event</t>
  </si>
  <si>
    <t>Completed Visit</t>
  </si>
  <si>
    <t>Reason For Non-completed Visit</t>
  </si>
  <si>
    <t>POP On Entry</t>
  </si>
  <si>
    <t>Was POP Placed</t>
  </si>
  <si>
    <t>Type Of POP Placed</t>
  </si>
  <si>
    <t>Reason No POP Placed</t>
  </si>
  <si>
    <t>Awareness Of AXP Acceptance</t>
  </si>
  <si>
    <t>Welcome Acceptance</t>
  </si>
  <si>
    <t>Terminal Tested</t>
  </si>
  <si>
    <t>Reason For No Terminal Test</t>
  </si>
  <si>
    <t>Terminal Successfully Working</t>
  </si>
  <si>
    <t>Visits Agent</t>
  </si>
  <si>
    <t>Entry_Status</t>
  </si>
  <si>
    <t>Entry_DateSubmitted</t>
  </si>
  <si>
    <t>Month</t>
  </si>
  <si>
    <t>Year</t>
  </si>
  <si>
    <t>132078</t>
  </si>
  <si>
    <t>Inactive</t>
  </si>
  <si>
    <t>PR_092025INACT</t>
  </si>
  <si>
    <t>4445044188431</t>
  </si>
  <si>
    <t>WILNELLY ANN VELAZGUEZ BRIGHTS</t>
  </si>
  <si>
    <t>PLAZA GIFT SHOP AND NAILS</t>
  </si>
  <si>
    <t>WILNELLY</t>
  </si>
  <si>
    <t>VALEZQUEZ</t>
  </si>
  <si>
    <t>9392521067</t>
  </si>
  <si>
    <t>GIFTNAILSSUPPLY@GMAIL.COM</t>
  </si>
  <si>
    <t>PLAZA DEL MERCARDO P-11</t>
  </si>
  <si>
    <t/>
  </si>
  <si>
    <t>SALINAS</t>
  </si>
  <si>
    <t>PR</t>
  </si>
  <si>
    <t>00751</t>
  </si>
  <si>
    <t>5947</t>
  </si>
  <si>
    <t>CARD &amp; SOUVENIR STORE</t>
  </si>
  <si>
    <t>460</t>
  </si>
  <si>
    <t>Active</t>
  </si>
  <si>
    <t>9380506775</t>
  </si>
  <si>
    <t>New to Amex- new to partner</t>
  </si>
  <si>
    <t>DIRECT</t>
  </si>
  <si>
    <t>8160</t>
  </si>
  <si>
    <t>111245</t>
  </si>
  <si>
    <t>9380504077</t>
  </si>
  <si>
    <t>VANTIV NOW WORLDPAY</t>
  </si>
  <si>
    <t>3343897567</t>
  </si>
  <si>
    <t>Rural</t>
  </si>
  <si>
    <t>EN</t>
  </si>
  <si>
    <t>Yes</t>
  </si>
  <si>
    <t>No</t>
  </si>
  <si>
    <t>Merchant says they don't accept Amex</t>
  </si>
  <si>
    <t>Merchant would not allow/unable to perform test</t>
  </si>
  <si>
    <t>Denisse Green</t>
  </si>
  <si>
    <t>Submitted</t>
  </si>
  <si>
    <t xml:space="preserve">October </t>
  </si>
  <si>
    <t>132077</t>
  </si>
  <si>
    <t>PR_092025ACT</t>
  </si>
  <si>
    <t>4549106835431</t>
  </si>
  <si>
    <t>FUNERARIA BRISAS DE PAZ - SALINAS</t>
  </si>
  <si>
    <t>FUNERARIA BRISAS DE PAZ -</t>
  </si>
  <si>
    <t>JONATAN</t>
  </si>
  <si>
    <t>RAMOS SANTANA</t>
  </si>
  <si>
    <t>9396392533</t>
  </si>
  <si>
    <t>FBRISASDEPAZSALINAS@GMAIL.COM</t>
  </si>
  <si>
    <t>51 CALLE ROMAN BALDORIOTY DE CASTRO</t>
  </si>
  <si>
    <t>AL LADO DE LA PLAZA PUBLICA</t>
  </si>
  <si>
    <t>7261</t>
  </si>
  <si>
    <t>FUNERAL SERVICE</t>
  </si>
  <si>
    <t>913</t>
  </si>
  <si>
    <t>9380500950</t>
  </si>
  <si>
    <t>EVERTEC POPULAR MERCHANT</t>
  </si>
  <si>
    <t>8410</t>
  </si>
  <si>
    <t>111052</t>
  </si>
  <si>
    <t>9380502204</t>
  </si>
  <si>
    <t>EVERTEC, INC</t>
  </si>
  <si>
    <t>9380500943</t>
  </si>
  <si>
    <t>ES</t>
  </si>
  <si>
    <t>Permanently Closed</t>
  </si>
  <si>
    <t>132076</t>
  </si>
  <si>
    <t>4549404604500</t>
  </si>
  <si>
    <t>CLINICA DE MEDICINA FSICA ALBERGUE OLIM</t>
  </si>
  <si>
    <t>CLINICA DE MEDICINA FSIC</t>
  </si>
  <si>
    <t>GLORIMAR</t>
  </si>
  <si>
    <t>BENITES PEREZ</t>
  </si>
  <si>
    <t>7877670445</t>
  </si>
  <si>
    <t>ANGELF.PEREZ@UPR.EDU</t>
  </si>
  <si>
    <t>ALBERGUE OLIMPICO</t>
  </si>
  <si>
    <t>8099</t>
  </si>
  <si>
    <t>MEDICAL SERVICE</t>
  </si>
  <si>
    <t>929</t>
  </si>
  <si>
    <t>9380502196</t>
  </si>
  <si>
    <t>132075</t>
  </si>
  <si>
    <t>4549106835086</t>
  </si>
  <si>
    <t>JODYS SUGAR RUSH</t>
  </si>
  <si>
    <t>LUIS</t>
  </si>
  <si>
    <t>MOJICA RAMOS</t>
  </si>
  <si>
    <t>7874244571</t>
  </si>
  <si>
    <t>LUIS.MOJICA@LIVE.COM</t>
  </si>
  <si>
    <t>BO JAGUAS CARR 3 KM 157</t>
  </si>
  <si>
    <t>5814</t>
  </si>
  <si>
    <t>FAST FOOD RESTAURANT</t>
  </si>
  <si>
    <t>183</t>
  </si>
  <si>
    <t>9380502162</t>
  </si>
  <si>
    <t>Closed at time of visit</t>
  </si>
  <si>
    <t>Visitas_Optblue_New_Id</t>
  </si>
  <si>
    <t>Name</t>
  </si>
  <si>
    <t>Broad Industry</t>
  </si>
  <si>
    <t>Control Indicator</t>
  </si>
  <si>
    <t>Locale</t>
  </si>
  <si>
    <t>MCC Description</t>
  </si>
  <si>
    <t>Program Segmentation</t>
  </si>
  <si>
    <t>SEIMS Level 1 – Industry Description</t>
  </si>
  <si>
    <t>Seller ID DBA Name</t>
  </si>
  <si>
    <t>Significant Owner First Name</t>
  </si>
  <si>
    <t>Significant Owner Last Name</t>
  </si>
  <si>
    <t>WA Industry</t>
  </si>
  <si>
    <t>SE Number</t>
  </si>
  <si>
    <t>Country</t>
  </si>
  <si>
    <t>POP on entry</t>
  </si>
  <si>
    <t>Was POP placed</t>
  </si>
  <si>
    <t>Which kit was delivered?</t>
  </si>
  <si>
    <t>Type of POP placed</t>
  </si>
  <si>
    <t>Reason No POP placed</t>
  </si>
  <si>
    <t>Awareness of AXP acceptance</t>
  </si>
  <si>
    <t>Reason for no terminal test</t>
  </si>
  <si>
    <t>Terminal successfully working</t>
  </si>
  <si>
    <t>Language Preferences</t>
  </si>
  <si>
    <t>Reason for Non-completed Visit</t>
  </si>
  <si>
    <t>Placed POP Picture</t>
  </si>
  <si>
    <t>9380579889</t>
  </si>
  <si>
    <t>la patisserie de france</t>
  </si>
  <si>
    <t>CALLE LOIZA</t>
  </si>
  <si>
    <t>RESTAURANTS</t>
  </si>
  <si>
    <t>Test</t>
  </si>
  <si>
    <t>PR_102025ACT</t>
  </si>
  <si>
    <t>Area Metro</t>
  </si>
  <si>
    <t>5812</t>
  </si>
  <si>
    <t>RESTAURANT</t>
  </si>
  <si>
    <t>CALL</t>
  </si>
  <si>
    <t>168449</t>
  </si>
  <si>
    <t>10</t>
  </si>
  <si>
    <t>FULL SVC RESTAURANT</t>
  </si>
  <si>
    <t>JEANROBERTA@AOL.COM</t>
  </si>
  <si>
    <t>4549110000000</t>
  </si>
  <si>
    <t>SAN JUAN</t>
  </si>
  <si>
    <t>LA PATISSERIE DE FRANCE</t>
  </si>
  <si>
    <t>936</t>
  </si>
  <si>
    <t>PLAZA LAS AMERICAS LOCAL 486 1ER PISO</t>
  </si>
  <si>
    <t>525 AVE FD ROOSEVELT HATO REY</t>
  </si>
  <si>
    <t>JEAN</t>
  </si>
  <si>
    <t>AUGUSTE SEVERE</t>
  </si>
  <si>
    <t>2025-01-22T00:00:00</t>
  </si>
  <si>
    <t>3256789425</t>
  </si>
  <si>
    <t>PR&amp;C</t>
  </si>
  <si>
    <t>Kit-Clean Stores</t>
  </si>
  <si>
    <t>Counter Plaque</t>
  </si>
  <si>
    <t>Spanish</t>
  </si>
  <si>
    <t>2026-03-16 13:29:14.988521</t>
  </si>
  <si>
    <t>9382432475</t>
  </si>
  <si>
    <t>finca sur llc</t>
  </si>
  <si>
    <t>HOLIDAY</t>
  </si>
  <si>
    <t>PROFESSIONAL SERVICES</t>
  </si>
  <si>
    <t>PR_102025INACT</t>
  </si>
  <si>
    <t>Area Isla</t>
  </si>
  <si>
    <t>763</t>
  </si>
  <si>
    <t>AGRICULTURAL CO-OP</t>
  </si>
  <si>
    <t>VISITS</t>
  </si>
  <si>
    <t>0</t>
  </si>
  <si>
    <t>708</t>
  </si>
  <si>
    <t>CARLOS.RODZLEON@YAHOO.COM</t>
  </si>
  <si>
    <t>COAMO</t>
  </si>
  <si>
    <t>FINCA SUR LLC</t>
  </si>
  <si>
    <t>769</t>
  </si>
  <si>
    <t>CARR 556 KM 2.7 INT. BO. PASTO SECO</t>
  </si>
  <si>
    <t>CARLOS</t>
  </si>
  <si>
    <t>RODRIGUEZ</t>
  </si>
  <si>
    <t>2022-10-14T00:00:00</t>
  </si>
  <si>
    <t>SERVICES</t>
  </si>
  <si>
    <t>4567789031</t>
  </si>
  <si>
    <t>Chamariz Martinez</t>
  </si>
  <si>
    <t>2026-03-16 13:59:29.725949</t>
  </si>
  <si>
    <t>9381859397</t>
  </si>
  <si>
    <t>passiflora edulis llc</t>
  </si>
  <si>
    <t>PR_102025NS</t>
  </si>
  <si>
    <t>YOCY_V@YAHOO.COM</t>
  </si>
  <si>
    <t>498357253885</t>
  </si>
  <si>
    <t>ISABELA</t>
  </si>
  <si>
    <t>PASSIFLORA EDULIS LLC</t>
  </si>
  <si>
    <t>662</t>
  </si>
  <si>
    <t>CARR 2 KM 414 KM 0</t>
  </si>
  <si>
    <t>BO ARENALES</t>
  </si>
  <si>
    <t>MEICY</t>
  </si>
  <si>
    <t>VARGAS LLAVONA</t>
  </si>
  <si>
    <t>2025-08-06T00:00:00</t>
  </si>
  <si>
    <t>New Signing</t>
  </si>
  <si>
    <t>8654038564</t>
  </si>
  <si>
    <t>Jessica Silva</t>
  </si>
  <si>
    <t>Luis Pagan</t>
  </si>
  <si>
    <t>Wrong Address</t>
  </si>
  <si>
    <t>2026-03-16 14:04:10.746281</t>
  </si>
  <si>
    <t>SEIMS Level 1 â€“ Industry Code</t>
  </si>
  <si>
    <t>SEIMS Level 1 â€“ Industry Description</t>
  </si>
  <si>
    <t>escarly piragauta</t>
  </si>
  <si>
    <t>lcuni28@gmail.com</t>
  </si>
  <si>
    <t>Escarly Piragauta</t>
  </si>
  <si>
    <t>Andres</t>
  </si>
  <si>
    <t>Gonzales</t>
  </si>
  <si>
    <t>Kit-General Establishments</t>
  </si>
  <si>
    <t>Card Holder</t>
  </si>
  <si>
    <t>PR Icon Spanish Decal</t>
  </si>
  <si>
    <t>william pizza fajardo 1</t>
  </si>
  <si>
    <t>Check Presenters</t>
  </si>
  <si>
    <t>tazon inc</t>
  </si>
  <si>
    <t>Belmarie Rosa</t>
  </si>
  <si>
    <t>Kevin DiCristina</t>
  </si>
  <si>
    <t>Residential</t>
  </si>
  <si>
    <t>delis cafe</t>
  </si>
  <si>
    <t>Report</t>
  </si>
  <si>
    <t>Odoo</t>
  </si>
  <si>
    <t>se_10_seller_number</t>
  </si>
  <si>
    <t>Phone</t>
  </si>
  <si>
    <t>Sales_Channel_Name</t>
  </si>
  <si>
    <t>visits_agent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</si>
</sst>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2" fillId="0" borderId="0"/>
    <xf numFmtId="0" fontId="5" fillId="0" borderId="0"/>
    <xf numFmtId="44" fontId="5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0" xfId="2" applyFont="1" applyFill="1" applyAlignment="1">
      <alignment horizontal="left" vertical="top" wrapText="1"/>
    </xf>
    <xf numFmtId="1" fontId="6" fillId="4" borderId="0" xfId="3" applyNumberFormat="1" applyFont="1" applyFill="1" applyAlignment="1">
      <alignment horizontal="center" vertical="top" wrapText="1"/>
    </xf>
    <xf numFmtId="0" fontId="6" fillId="4" borderId="0" xfId="3" applyFont="1" applyFill="1" applyAlignment="1">
      <alignment horizontal="center" vertical="top" wrapText="1"/>
    </xf>
    <xf numFmtId="164" fontId="6" fillId="4" borderId="0" xfId="3" applyNumberFormat="1" applyFont="1" applyFill="1" applyAlignment="1">
      <alignment horizontal="center" vertical="top" wrapText="1"/>
    </xf>
    <xf numFmtId="0" fontId="4" fillId="4" borderId="0" xfId="2" applyFont="1" applyFill="1" applyAlignment="1">
      <alignment horizontal="center" vertical="top" wrapText="1"/>
    </xf>
    <xf numFmtId="0" fontId="4" fillId="4" borderId="0" xfId="2" applyFont="1" applyFill="1" applyAlignment="1">
      <alignment horizontal="center" vertical="top"/>
    </xf>
    <xf numFmtId="0" fontId="6" fillId="4" borderId="2" xfId="3" applyFont="1" applyFill="1" applyBorder="1" applyAlignment="1">
      <alignment horizontal="center" vertical="top" wrapText="1"/>
    </xf>
    <xf numFmtId="165" fontId="6" fillId="4" borderId="0" xfId="3" applyNumberFormat="1" applyFont="1" applyFill="1" applyAlignment="1">
      <alignment horizontal="center" vertical="top" wrapText="1"/>
    </xf>
    <xf numFmtId="14" fontId="6" fillId="4" borderId="0" xfId="3" applyNumberFormat="1" applyFont="1" applyFill="1" applyAlignment="1">
      <alignment horizontal="center" vertical="top" wrapText="1"/>
    </xf>
    <xf numFmtId="0" fontId="5" fillId="0" borderId="0" xfId="3"/>
    <xf numFmtId="0" fontId="5" fillId="5" borderId="0" xfId="3" applyFill="1" applyAlignment="1">
      <alignment horizontal="center"/>
    </xf>
    <xf numFmtId="0" fontId="5" fillId="0" borderId="0" xfId="3" applyAlignment="1">
      <alignment horizontal="center"/>
    </xf>
    <xf numFmtId="1" fontId="5" fillId="5" borderId="0" xfId="3" applyNumberFormat="1" applyFill="1" applyAlignment="1">
      <alignment horizontal="center"/>
    </xf>
    <xf numFmtId="14" fontId="5" fillId="0" borderId="0" xfId="3" applyNumberFormat="1" applyAlignment="1">
      <alignment horizontal="center"/>
    </xf>
    <xf numFmtId="44" fontId="5" fillId="0" borderId="0" xfId="4" applyFont="1" applyAlignment="1">
      <alignment horizontal="center"/>
    </xf>
    <xf numFmtId="0" fontId="3" fillId="3" borderId="1" xfId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4" borderId="0" xfId="2" applyFont="1" applyFill="1" applyAlignment="1">
      <alignment horizontal="left" vertical="center"/>
    </xf>
    <xf numFmtId="0" fontId="3" fillId="3" borderId="0" xfId="1" applyAlignment="1">
      <alignment horizontal="left" vertical="center"/>
    </xf>
    <xf numFmtId="1" fontId="6" fillId="4" borderId="0" xfId="3" applyNumberFormat="1" applyFont="1" applyFill="1" applyAlignment="1">
      <alignment horizontal="left" vertical="center"/>
    </xf>
    <xf numFmtId="0" fontId="6" fillId="4" borderId="0" xfId="3" applyFont="1" applyFill="1" applyAlignment="1">
      <alignment horizontal="left" vertical="center"/>
    </xf>
    <xf numFmtId="164" fontId="6" fillId="4" borderId="0" xfId="3" applyNumberFormat="1" applyFont="1" applyFill="1" applyAlignment="1">
      <alignment horizontal="left" vertical="center"/>
    </xf>
    <xf numFmtId="0" fontId="6" fillId="4" borderId="2" xfId="3" applyFont="1" applyFill="1" applyBorder="1" applyAlignment="1">
      <alignment horizontal="left" vertical="center"/>
    </xf>
    <xf numFmtId="165" fontId="6" fillId="4" borderId="0" xfId="3" applyNumberFormat="1" applyFont="1" applyFill="1" applyAlignment="1">
      <alignment horizontal="left" vertical="center"/>
    </xf>
    <xf numFmtId="14" fontId="6" fillId="4" borderId="0" xfId="3" applyNumberFormat="1" applyFont="1" applyFill="1" applyAlignment="1">
      <alignment horizontal="left" vertical="center"/>
    </xf>
    <xf numFmtId="47" fontId="0" fillId="0" borderId="0" xfId="0" applyNumberFormat="1"/>
    <xf numFmtId="0" fontId="0" fillId="6" borderId="0" xfId="0" applyFill="1" applyAlignment="1">
      <alignment horizontal="left" vertical="center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</cellXfs>
  <cellStyles count="5">
    <cellStyle name="Currency 2" xfId="4" xr:uid="{ABD89714-54D6-4CCC-AF61-B5BFEA6EEE3A}"/>
    <cellStyle name="Good" xfId="1" builtinId="26"/>
    <cellStyle name="Normal" xfId="0" builtinId="0"/>
    <cellStyle name="Normal 2" xfId="2" xr:uid="{38D88B4E-0580-4F72-A4F8-567424A946DD}"/>
    <cellStyle name="Normal 3" xfId="3" xr:uid="{9E306B51-00D6-4076-97EE-F7F937A500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5BCE-EE71-45DF-8134-90C98F8CEDB2}">
  <dimension ref="A1:BA5"/>
  <sheetViews>
    <sheetView topLeftCell="Y1" workbookViewId="0">
      <selection sqref="A1:BA1"/>
    </sheetView>
  </sheetViews>
  <sheetFormatPr defaultRowHeight="15" x14ac:dyDescent="0.25"/>
  <sheetData>
    <row r="1" spans="1:53" ht="55.5" customHeight="1" thickBot="1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5" t="s">
        <v>20</v>
      </c>
      <c r="V1" s="6" t="s">
        <v>21</v>
      </c>
      <c r="W1" s="5" t="s">
        <v>22</v>
      </c>
      <c r="X1" s="8" t="s">
        <v>23</v>
      </c>
      <c r="Y1" s="9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9" t="s">
        <v>34</v>
      </c>
      <c r="AJ1" s="10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11" t="s">
        <v>50</v>
      </c>
      <c r="AZ1" s="8" t="s">
        <v>51</v>
      </c>
      <c r="BA1" s="8" t="s">
        <v>52</v>
      </c>
    </row>
    <row r="2" spans="1:53" x14ac:dyDescent="0.25">
      <c r="A2" s="12" t="s">
        <v>53</v>
      </c>
      <c r="B2" s="13">
        <v>9381740035</v>
      </c>
      <c r="C2" s="14" t="s">
        <v>54</v>
      </c>
      <c r="D2" s="14" t="s">
        <v>55</v>
      </c>
      <c r="E2" s="15" t="s">
        <v>56</v>
      </c>
      <c r="F2" s="14" t="s">
        <v>57</v>
      </c>
      <c r="G2" s="14" t="s">
        <v>58</v>
      </c>
      <c r="H2" s="13" t="s">
        <v>59</v>
      </c>
      <c r="I2" s="13" t="s">
        <v>60</v>
      </c>
      <c r="J2" s="14" t="s">
        <v>61</v>
      </c>
      <c r="K2" s="14" t="s">
        <v>62</v>
      </c>
      <c r="L2" s="14" t="s">
        <v>63</v>
      </c>
      <c r="M2" s="14" t="s">
        <v>64</v>
      </c>
      <c r="N2" s="14" t="s">
        <v>65</v>
      </c>
      <c r="O2" s="14" t="s">
        <v>66</v>
      </c>
      <c r="P2" s="14" t="s">
        <v>67</v>
      </c>
      <c r="Q2" s="14" t="s">
        <v>66</v>
      </c>
      <c r="R2" s="16">
        <v>44508</v>
      </c>
      <c r="S2" s="14" t="s">
        <v>68</v>
      </c>
      <c r="T2" s="14" t="s">
        <v>69</v>
      </c>
      <c r="U2" s="14" t="s">
        <v>70</v>
      </c>
      <c r="V2" s="14" t="s">
        <v>69</v>
      </c>
      <c r="W2" s="12"/>
      <c r="X2" s="12"/>
      <c r="Y2" s="14" t="s">
        <v>71</v>
      </c>
      <c r="Z2" s="14" t="s">
        <v>72</v>
      </c>
      <c r="AA2" s="14" t="s">
        <v>73</v>
      </c>
      <c r="AB2" s="14" t="s">
        <v>74</v>
      </c>
      <c r="AC2" s="14" t="s">
        <v>75</v>
      </c>
      <c r="AD2" s="14" t="s">
        <v>76</v>
      </c>
      <c r="AE2" s="14" t="s">
        <v>77</v>
      </c>
      <c r="AF2" s="14" t="s">
        <v>78</v>
      </c>
      <c r="AG2" s="14" t="s">
        <v>79</v>
      </c>
      <c r="AH2" s="14" t="s">
        <v>80</v>
      </c>
      <c r="AI2" s="14" t="s">
        <v>81</v>
      </c>
      <c r="AJ2" s="17"/>
      <c r="AK2" s="12"/>
      <c r="AL2" s="14" t="s">
        <v>82</v>
      </c>
      <c r="AM2" s="12"/>
      <c r="AN2" s="14" t="s">
        <v>83</v>
      </c>
      <c r="AO2" s="14" t="s">
        <v>83</v>
      </c>
      <c r="AP2" s="12"/>
      <c r="AQ2" s="14" t="s">
        <v>84</v>
      </c>
      <c r="AR2" s="14" t="s">
        <v>83</v>
      </c>
      <c r="AS2" s="14" t="s">
        <v>83</v>
      </c>
      <c r="AT2" s="14" t="s">
        <v>83</v>
      </c>
      <c r="AU2" s="14" t="s">
        <v>85</v>
      </c>
      <c r="AV2" s="14" t="s">
        <v>83</v>
      </c>
      <c r="AW2" s="14" t="s">
        <v>86</v>
      </c>
      <c r="AX2" s="14" t="s">
        <v>87</v>
      </c>
      <c r="AY2" s="16">
        <v>45936.534722222197</v>
      </c>
      <c r="AZ2" s="14" t="s">
        <v>88</v>
      </c>
      <c r="BA2" s="14">
        <v>2025</v>
      </c>
    </row>
    <row r="3" spans="1:53" x14ac:dyDescent="0.25">
      <c r="A3" s="12" t="s">
        <v>89</v>
      </c>
      <c r="B3" s="13">
        <v>9382458082</v>
      </c>
      <c r="C3" s="14" t="s">
        <v>71</v>
      </c>
      <c r="D3" s="14" t="s">
        <v>90</v>
      </c>
      <c r="E3" s="15" t="s">
        <v>91</v>
      </c>
      <c r="F3" s="14" t="s">
        <v>92</v>
      </c>
      <c r="G3" s="14" t="s">
        <v>93</v>
      </c>
      <c r="H3" s="13" t="s">
        <v>94</v>
      </c>
      <c r="I3" s="13" t="s">
        <v>95</v>
      </c>
      <c r="J3" s="14" t="s">
        <v>96</v>
      </c>
      <c r="K3" s="14" t="s">
        <v>97</v>
      </c>
      <c r="L3" s="14" t="s">
        <v>98</v>
      </c>
      <c r="M3" s="14" t="s">
        <v>99</v>
      </c>
      <c r="N3" s="14" t="s">
        <v>65</v>
      </c>
      <c r="O3" s="14" t="s">
        <v>66</v>
      </c>
      <c r="P3" s="14" t="s">
        <v>67</v>
      </c>
      <c r="Q3" s="14" t="s">
        <v>66</v>
      </c>
      <c r="R3" s="16">
        <v>45485</v>
      </c>
      <c r="S3" s="14" t="s">
        <v>100</v>
      </c>
      <c r="T3" s="14" t="s">
        <v>101</v>
      </c>
      <c r="U3" s="14" t="s">
        <v>102</v>
      </c>
      <c r="V3" s="14" t="s">
        <v>64</v>
      </c>
      <c r="W3" s="12"/>
      <c r="X3" s="12"/>
      <c r="Y3" s="14" t="s">
        <v>71</v>
      </c>
      <c r="Z3" s="14" t="s">
        <v>103</v>
      </c>
      <c r="AA3" s="14" t="s">
        <v>73</v>
      </c>
      <c r="AB3" s="14" t="s">
        <v>104</v>
      </c>
      <c r="AC3" s="14" t="s">
        <v>105</v>
      </c>
      <c r="AD3" s="14" t="s">
        <v>106</v>
      </c>
      <c r="AE3" s="14" t="s">
        <v>107</v>
      </c>
      <c r="AF3" s="14" t="s">
        <v>108</v>
      </c>
      <c r="AG3" s="14" t="s">
        <v>109</v>
      </c>
      <c r="AH3" s="14" t="s">
        <v>80</v>
      </c>
      <c r="AI3" s="14" t="s">
        <v>110</v>
      </c>
      <c r="AJ3" s="17">
        <v>475</v>
      </c>
      <c r="AK3" s="12"/>
      <c r="AL3" s="14" t="s">
        <v>83</v>
      </c>
      <c r="AM3" s="14" t="s">
        <v>111</v>
      </c>
      <c r="AN3" s="12"/>
      <c r="AO3" s="12"/>
      <c r="AP3" s="12"/>
      <c r="AQ3" s="12"/>
      <c r="AR3" s="12"/>
      <c r="AS3" s="12"/>
      <c r="AT3" s="12"/>
      <c r="AU3" s="12"/>
      <c r="AV3" s="12"/>
      <c r="AW3" s="14" t="s">
        <v>86</v>
      </c>
      <c r="AX3" s="14" t="s">
        <v>87</v>
      </c>
      <c r="AY3" s="16">
        <v>45936.531944444403</v>
      </c>
      <c r="AZ3" s="14" t="s">
        <v>88</v>
      </c>
      <c r="BA3" s="14">
        <v>2025</v>
      </c>
    </row>
    <row r="4" spans="1:53" x14ac:dyDescent="0.25">
      <c r="A4" s="12" t="s">
        <v>112</v>
      </c>
      <c r="B4" s="13">
        <v>9382438001</v>
      </c>
      <c r="C4" s="14" t="s">
        <v>71</v>
      </c>
      <c r="D4" s="14" t="s">
        <v>90</v>
      </c>
      <c r="E4" s="15" t="s">
        <v>113</v>
      </c>
      <c r="F4" s="14" t="s">
        <v>114</v>
      </c>
      <c r="G4" s="14" t="s">
        <v>115</v>
      </c>
      <c r="H4" s="13" t="s">
        <v>116</v>
      </c>
      <c r="I4" s="13" t="s">
        <v>117</v>
      </c>
      <c r="J4" s="14" t="s">
        <v>118</v>
      </c>
      <c r="K4" s="14" t="s">
        <v>119</v>
      </c>
      <c r="L4" s="14" t="s">
        <v>120</v>
      </c>
      <c r="M4" s="14" t="s">
        <v>64</v>
      </c>
      <c r="N4" s="14" t="s">
        <v>65</v>
      </c>
      <c r="O4" s="14" t="s">
        <v>66</v>
      </c>
      <c r="P4" s="14" t="s">
        <v>67</v>
      </c>
      <c r="Q4" s="14" t="s">
        <v>66</v>
      </c>
      <c r="R4" s="16">
        <v>45457</v>
      </c>
      <c r="S4" s="14" t="s">
        <v>121</v>
      </c>
      <c r="T4" s="14" t="s">
        <v>122</v>
      </c>
      <c r="U4" s="14" t="s">
        <v>123</v>
      </c>
      <c r="V4" s="14" t="s">
        <v>64</v>
      </c>
      <c r="W4" s="12"/>
      <c r="X4" s="12"/>
      <c r="Y4" s="14" t="s">
        <v>71</v>
      </c>
      <c r="Z4" s="14" t="s">
        <v>103</v>
      </c>
      <c r="AA4" s="14" t="s">
        <v>73</v>
      </c>
      <c r="AB4" s="14" t="s">
        <v>104</v>
      </c>
      <c r="AC4" s="14" t="s">
        <v>105</v>
      </c>
      <c r="AD4" s="14" t="s">
        <v>106</v>
      </c>
      <c r="AE4" s="14" t="s">
        <v>124</v>
      </c>
      <c r="AF4" s="14" t="s">
        <v>108</v>
      </c>
      <c r="AG4" s="14" t="s">
        <v>109</v>
      </c>
      <c r="AH4" s="14" t="s">
        <v>80</v>
      </c>
      <c r="AI4" s="14" t="s">
        <v>110</v>
      </c>
      <c r="AJ4" s="17">
        <v>150</v>
      </c>
      <c r="AK4" s="12"/>
      <c r="AL4" s="14" t="s">
        <v>82</v>
      </c>
      <c r="AM4" s="12"/>
      <c r="AN4" s="14" t="s">
        <v>83</v>
      </c>
      <c r="AO4" s="14" t="s">
        <v>83</v>
      </c>
      <c r="AP4" s="12"/>
      <c r="AQ4" s="14" t="s">
        <v>84</v>
      </c>
      <c r="AR4" s="14" t="s">
        <v>83</v>
      </c>
      <c r="AS4" s="14" t="s">
        <v>83</v>
      </c>
      <c r="AT4" s="14" t="s">
        <v>83</v>
      </c>
      <c r="AU4" s="14" t="s">
        <v>85</v>
      </c>
      <c r="AV4" s="14" t="s">
        <v>83</v>
      </c>
      <c r="AW4" s="14" t="s">
        <v>86</v>
      </c>
      <c r="AX4" s="14" t="s">
        <v>87</v>
      </c>
      <c r="AY4" s="16">
        <v>45936.53125</v>
      </c>
      <c r="AZ4" s="14" t="s">
        <v>88</v>
      </c>
      <c r="BA4" s="14">
        <v>2025</v>
      </c>
    </row>
    <row r="5" spans="1:53" x14ac:dyDescent="0.25">
      <c r="A5" s="12" t="s">
        <v>125</v>
      </c>
      <c r="B5" s="13">
        <v>9382427905</v>
      </c>
      <c r="C5" s="14" t="s">
        <v>71</v>
      </c>
      <c r="D5" s="14" t="s">
        <v>90</v>
      </c>
      <c r="E5" s="15" t="s">
        <v>126</v>
      </c>
      <c r="F5" s="14" t="s">
        <v>127</v>
      </c>
      <c r="G5" s="14" t="s">
        <v>127</v>
      </c>
      <c r="H5" s="13" t="s">
        <v>128</v>
      </c>
      <c r="I5" s="13" t="s">
        <v>129</v>
      </c>
      <c r="J5" s="14" t="s">
        <v>130</v>
      </c>
      <c r="K5" s="14" t="s">
        <v>131</v>
      </c>
      <c r="L5" s="14" t="s">
        <v>132</v>
      </c>
      <c r="M5" s="14" t="s">
        <v>64</v>
      </c>
      <c r="N5" s="14" t="s">
        <v>65</v>
      </c>
      <c r="O5" s="14" t="s">
        <v>66</v>
      </c>
      <c r="P5" s="14" t="s">
        <v>67</v>
      </c>
      <c r="Q5" s="14" t="s">
        <v>66</v>
      </c>
      <c r="R5" s="16">
        <v>45442</v>
      </c>
      <c r="S5" s="14" t="s">
        <v>133</v>
      </c>
      <c r="T5" s="14" t="s">
        <v>134</v>
      </c>
      <c r="U5" s="14" t="s">
        <v>135</v>
      </c>
      <c r="V5" s="14" t="s">
        <v>64</v>
      </c>
      <c r="W5" s="12"/>
      <c r="X5" s="12"/>
      <c r="Y5" s="14" t="s">
        <v>71</v>
      </c>
      <c r="Z5" s="14" t="s">
        <v>103</v>
      </c>
      <c r="AA5" s="14" t="s">
        <v>73</v>
      </c>
      <c r="AB5" s="14" t="s">
        <v>104</v>
      </c>
      <c r="AC5" s="14" t="s">
        <v>105</v>
      </c>
      <c r="AD5" s="14" t="s">
        <v>106</v>
      </c>
      <c r="AE5" s="14" t="s">
        <v>136</v>
      </c>
      <c r="AF5" s="14" t="s">
        <v>108</v>
      </c>
      <c r="AG5" s="14" t="s">
        <v>109</v>
      </c>
      <c r="AH5" s="14" t="s">
        <v>80</v>
      </c>
      <c r="AI5" s="14" t="s">
        <v>110</v>
      </c>
      <c r="AJ5" s="17">
        <v>11.77</v>
      </c>
      <c r="AK5" s="12"/>
      <c r="AL5" s="14" t="s">
        <v>83</v>
      </c>
      <c r="AM5" s="14" t="s">
        <v>137</v>
      </c>
      <c r="AN5" s="12"/>
      <c r="AO5" s="12"/>
      <c r="AP5" s="12"/>
      <c r="AQ5" s="12"/>
      <c r="AR5" s="12"/>
      <c r="AS5" s="12"/>
      <c r="AT5" s="12"/>
      <c r="AU5" s="12"/>
      <c r="AV5" s="12"/>
      <c r="AW5" s="14" t="s">
        <v>86</v>
      </c>
      <c r="AX5" s="14" t="s">
        <v>87</v>
      </c>
      <c r="AY5" s="16">
        <v>45936.529861111099</v>
      </c>
      <c r="AZ5" s="14" t="s">
        <v>88</v>
      </c>
      <c r="BA5" s="14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D819-3FD8-41A6-B9B0-26B7EFE7AF35}">
  <dimension ref="A1:A53"/>
  <sheetViews>
    <sheetView workbookViewId="0">
      <selection activeCell="A2" sqref="A2"/>
    </sheetView>
  </sheetViews>
  <sheetFormatPr defaultRowHeight="15" x14ac:dyDescent="0.25"/>
  <sheetData>
    <row r="1" spans="1:1" ht="45" x14ac:dyDescent="0.25">
      <c r="A1" s="3" t="s">
        <v>0</v>
      </c>
    </row>
    <row r="2" spans="1:1" ht="38.25" x14ac:dyDescent="0.25">
      <c r="A2" s="4" t="s">
        <v>1</v>
      </c>
    </row>
    <row r="3" spans="1:1" ht="38.25" x14ac:dyDescent="0.25">
      <c r="A3" s="5" t="s">
        <v>2</v>
      </c>
    </row>
    <row r="4" spans="1:1" ht="38.25" x14ac:dyDescent="0.25">
      <c r="A4" s="5" t="s">
        <v>3</v>
      </c>
    </row>
    <row r="5" spans="1:1" x14ac:dyDescent="0.25">
      <c r="A5" s="5" t="s">
        <v>4</v>
      </c>
    </row>
    <row r="6" spans="1:1" ht="38.25" x14ac:dyDescent="0.25">
      <c r="A6" s="5" t="s">
        <v>5</v>
      </c>
    </row>
    <row r="7" spans="1:1" ht="38.25" x14ac:dyDescent="0.25">
      <c r="A7" s="5" t="s">
        <v>6</v>
      </c>
    </row>
    <row r="8" spans="1:1" ht="63.75" x14ac:dyDescent="0.25">
      <c r="A8" s="5" t="s">
        <v>7</v>
      </c>
    </row>
    <row r="9" spans="1:1" ht="63.75" x14ac:dyDescent="0.25">
      <c r="A9" s="5" t="s">
        <v>8</v>
      </c>
    </row>
    <row r="10" spans="1:1" ht="51" x14ac:dyDescent="0.25">
      <c r="A10" s="5" t="s">
        <v>9</v>
      </c>
    </row>
    <row r="11" spans="1:1" ht="51" x14ac:dyDescent="0.25">
      <c r="A11" s="5" t="s">
        <v>10</v>
      </c>
    </row>
    <row r="12" spans="1:1" ht="76.5" x14ac:dyDescent="0.25">
      <c r="A12" s="5" t="s">
        <v>11</v>
      </c>
    </row>
    <row r="13" spans="1:1" ht="76.5" x14ac:dyDescent="0.25">
      <c r="A13" s="5" t="s">
        <v>12</v>
      </c>
    </row>
    <row r="14" spans="1:1" ht="38.25" x14ac:dyDescent="0.25">
      <c r="A14" s="5" t="s">
        <v>13</v>
      </c>
    </row>
    <row r="15" spans="1:1" ht="51" x14ac:dyDescent="0.25">
      <c r="A15" s="5" t="s">
        <v>14</v>
      </c>
    </row>
    <row r="16" spans="1:1" ht="38.25" x14ac:dyDescent="0.25">
      <c r="A16" s="5" t="s">
        <v>15</v>
      </c>
    </row>
    <row r="17" spans="1:1" ht="38.25" x14ac:dyDescent="0.25">
      <c r="A17" s="5" t="s">
        <v>16</v>
      </c>
    </row>
    <row r="18" spans="1:1" ht="38.25" x14ac:dyDescent="0.25">
      <c r="A18" s="6" t="s">
        <v>17</v>
      </c>
    </row>
    <row r="19" spans="1:1" ht="30" x14ac:dyDescent="0.25">
      <c r="A19" s="7" t="s">
        <v>18</v>
      </c>
    </row>
    <row r="20" spans="1:1" ht="60" x14ac:dyDescent="0.25">
      <c r="A20" s="7" t="s">
        <v>19</v>
      </c>
    </row>
    <row r="21" spans="1:1" ht="51" x14ac:dyDescent="0.25">
      <c r="A21" s="5" t="s">
        <v>20</v>
      </c>
    </row>
    <row r="22" spans="1:1" ht="127.5" x14ac:dyDescent="0.25">
      <c r="A22" s="6" t="s">
        <v>21</v>
      </c>
    </row>
    <row r="23" spans="1:1" ht="51" x14ac:dyDescent="0.25">
      <c r="A23" s="5" t="s">
        <v>22</v>
      </c>
    </row>
    <row r="24" spans="1:1" x14ac:dyDescent="0.25">
      <c r="A24" s="8" t="s">
        <v>23</v>
      </c>
    </row>
    <row r="25" spans="1:1" ht="77.25" thickBot="1" x14ac:dyDescent="0.3">
      <c r="A25" s="9" t="s">
        <v>24</v>
      </c>
    </row>
    <row r="26" spans="1:1" ht="51" x14ac:dyDescent="0.25">
      <c r="A26" s="5" t="s">
        <v>25</v>
      </c>
    </row>
    <row r="27" spans="1:1" ht="76.5" x14ac:dyDescent="0.25">
      <c r="A27" s="5" t="s">
        <v>26</v>
      </c>
    </row>
    <row r="28" spans="1:1" ht="38.25" x14ac:dyDescent="0.25">
      <c r="A28" s="5" t="s">
        <v>27</v>
      </c>
    </row>
    <row r="29" spans="1:1" ht="38.25" x14ac:dyDescent="0.25">
      <c r="A29" s="5" t="s">
        <v>28</v>
      </c>
    </row>
    <row r="30" spans="1:1" ht="25.5" x14ac:dyDescent="0.25">
      <c r="A30" s="5" t="s">
        <v>29</v>
      </c>
    </row>
    <row r="31" spans="1:1" ht="63.75" x14ac:dyDescent="0.25">
      <c r="A31" s="5" t="s">
        <v>30</v>
      </c>
    </row>
    <row r="32" spans="1:1" ht="38.25" x14ac:dyDescent="0.25">
      <c r="A32" s="5" t="s">
        <v>31</v>
      </c>
    </row>
    <row r="33" spans="1:1" ht="51" x14ac:dyDescent="0.25">
      <c r="A33" s="5" t="s">
        <v>32</v>
      </c>
    </row>
    <row r="34" spans="1:1" ht="30" x14ac:dyDescent="0.25">
      <c r="A34" s="7" t="s">
        <v>33</v>
      </c>
    </row>
    <row r="35" spans="1:1" ht="51.75" thickBot="1" x14ac:dyDescent="0.3">
      <c r="A35" s="9" t="s">
        <v>34</v>
      </c>
    </row>
    <row r="36" spans="1:1" x14ac:dyDescent="0.25">
      <c r="A36" s="10" t="s">
        <v>35</v>
      </c>
    </row>
    <row r="37" spans="1:1" ht="25.5" x14ac:dyDescent="0.25">
      <c r="A37" s="5" t="s">
        <v>36</v>
      </c>
    </row>
    <row r="38" spans="1:1" ht="25.5" x14ac:dyDescent="0.25">
      <c r="A38" s="5" t="s">
        <v>37</v>
      </c>
    </row>
    <row r="39" spans="1:1" ht="51" x14ac:dyDescent="0.25">
      <c r="A39" s="5" t="s">
        <v>38</v>
      </c>
    </row>
    <row r="40" spans="1:1" ht="25.5" x14ac:dyDescent="0.25">
      <c r="A40" s="5" t="s">
        <v>39</v>
      </c>
    </row>
    <row r="41" spans="1:1" ht="38.25" x14ac:dyDescent="0.25">
      <c r="A41" s="5" t="s">
        <v>40</v>
      </c>
    </row>
    <row r="42" spans="1:1" ht="38.25" x14ac:dyDescent="0.25">
      <c r="A42" s="5" t="s">
        <v>41</v>
      </c>
    </row>
    <row r="43" spans="1:1" ht="38.25" x14ac:dyDescent="0.25">
      <c r="A43" s="5" t="s">
        <v>42</v>
      </c>
    </row>
    <row r="44" spans="1:1" ht="63.75" x14ac:dyDescent="0.25">
      <c r="A44" s="5" t="s">
        <v>43</v>
      </c>
    </row>
    <row r="45" spans="1:1" ht="51" x14ac:dyDescent="0.25">
      <c r="A45" s="5" t="s">
        <v>44</v>
      </c>
    </row>
    <row r="46" spans="1:1" ht="25.5" x14ac:dyDescent="0.25">
      <c r="A46" s="5" t="s">
        <v>45</v>
      </c>
    </row>
    <row r="47" spans="1:1" ht="51" x14ac:dyDescent="0.25">
      <c r="A47" s="5" t="s">
        <v>46</v>
      </c>
    </row>
    <row r="48" spans="1:1" ht="51" x14ac:dyDescent="0.25">
      <c r="A48" s="5" t="s">
        <v>47</v>
      </c>
    </row>
    <row r="49" spans="1:1" ht="25.5" x14ac:dyDescent="0.25">
      <c r="A49" s="5" t="s">
        <v>48</v>
      </c>
    </row>
    <row r="50" spans="1:1" ht="25.5" x14ac:dyDescent="0.25">
      <c r="A50" s="5" t="s">
        <v>49</v>
      </c>
    </row>
    <row r="51" spans="1:1" ht="38.25" x14ac:dyDescent="0.25">
      <c r="A51" s="11" t="s">
        <v>50</v>
      </c>
    </row>
    <row r="52" spans="1:1" x14ac:dyDescent="0.25">
      <c r="A52" s="8" t="s">
        <v>51</v>
      </c>
    </row>
    <row r="53" spans="1:1" x14ac:dyDescent="0.25">
      <c r="A53" s="8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5"/>
  <sheetViews>
    <sheetView topLeftCell="AZ1" zoomScaleNormal="100" workbookViewId="0">
      <pane ySplit="1" topLeftCell="A2" activePane="bottomLeft" state="frozen"/>
      <selection pane="bottomLeft" activeCell="BH23" sqref="BH23"/>
    </sheetView>
  </sheetViews>
  <sheetFormatPr defaultRowHeight="15" x14ac:dyDescent="0.25"/>
  <cols>
    <col min="1" max="1" width="26" customWidth="1"/>
    <col min="2" max="2" width="23" customWidth="1"/>
    <col min="3" max="3" width="27" customWidth="1"/>
    <col min="4" max="4" width="15" customWidth="1"/>
    <col min="5" max="5" width="25" customWidth="1"/>
    <col min="6" max="6" width="21" customWidth="1"/>
    <col min="7" max="7" width="23" customWidth="1"/>
    <col min="8" max="8" width="18" customWidth="1"/>
    <col min="9" max="9" width="14" customWidth="1"/>
    <col min="10" max="10" width="12" customWidth="1"/>
    <col min="11" max="11" width="22" customWidth="1"/>
    <col min="12" max="12" width="25" customWidth="1"/>
    <col min="13" max="13" width="24" customWidth="1"/>
    <col min="14" max="14" width="10" customWidth="1"/>
    <col min="15" max="15" width="39" customWidth="1"/>
    <col min="16" max="16" width="23" customWidth="1"/>
    <col min="17" max="17" width="33" customWidth="1"/>
    <col min="18" max="18" width="40" customWidth="1"/>
    <col min="19" max="19" width="28" customWidth="1"/>
    <col min="20" max="20" width="40" customWidth="1"/>
    <col min="21" max="21" width="29" customWidth="1"/>
    <col min="22" max="22" width="17" customWidth="1"/>
    <col min="23" max="23" width="35" customWidth="1"/>
    <col min="24" max="24" width="23" customWidth="1"/>
    <col min="25" max="25" width="26" customWidth="1"/>
    <col min="26" max="26" width="27" customWidth="1"/>
    <col min="27" max="27" width="25" customWidth="1"/>
    <col min="28" max="28" width="30" customWidth="1"/>
    <col min="29" max="30" width="42" customWidth="1"/>
    <col min="31" max="31" width="23" customWidth="1"/>
    <col min="32" max="32" width="32" customWidth="1"/>
    <col min="33" max="33" width="31" customWidth="1"/>
    <col min="34" max="34" width="23" customWidth="1"/>
    <col min="35" max="35" width="16" customWidth="1"/>
    <col min="36" max="36" width="29" customWidth="1"/>
    <col min="37" max="37" width="21" customWidth="1"/>
    <col min="38" max="39" width="23" customWidth="1"/>
    <col min="40" max="40" width="15" customWidth="1"/>
    <col min="41" max="41" width="14" customWidth="1"/>
    <col min="42" max="42" width="11" customWidth="1"/>
    <col min="43" max="43" width="19" customWidth="1"/>
    <col min="44" max="44" width="21" customWidth="1"/>
    <col min="45" max="45" width="16" customWidth="1"/>
    <col min="46" max="46" width="18" customWidth="1"/>
    <col min="47" max="47" width="28" customWidth="1"/>
    <col min="48" max="48" width="22" customWidth="1"/>
    <col min="49" max="49" width="24" customWidth="1"/>
    <col min="50" max="50" width="31" customWidth="1"/>
    <col min="51" max="51" width="22" customWidth="1"/>
    <col min="52" max="52" width="19" customWidth="1"/>
    <col min="53" max="53" width="50" customWidth="1"/>
    <col min="54" max="54" width="33" customWidth="1"/>
    <col min="55" max="55" width="24" customWidth="1"/>
    <col min="56" max="56" width="21" customWidth="1"/>
    <col min="57" max="57" width="34" customWidth="1"/>
    <col min="58" max="58" width="22" customWidth="1"/>
    <col min="59" max="59" width="27" customWidth="1"/>
    <col min="60" max="60" width="16" customWidth="1"/>
    <col min="61" max="61" width="30" customWidth="1"/>
  </cols>
  <sheetData>
    <row r="1" spans="1:61" x14ac:dyDescent="0.25">
      <c r="A1" s="1" t="s">
        <v>138</v>
      </c>
      <c r="B1" s="1" t="s">
        <v>1</v>
      </c>
      <c r="C1" s="1" t="s">
        <v>139</v>
      </c>
      <c r="D1" s="1" t="s">
        <v>36</v>
      </c>
      <c r="E1" s="1" t="s">
        <v>140</v>
      </c>
      <c r="F1" s="1" t="s">
        <v>141</v>
      </c>
      <c r="G1" s="1" t="s">
        <v>34</v>
      </c>
      <c r="H1" s="1" t="s">
        <v>3</v>
      </c>
      <c r="I1" s="1" t="s">
        <v>142</v>
      </c>
      <c r="J1" s="1" t="s">
        <v>18</v>
      </c>
      <c r="K1" s="1" t="s">
        <v>143</v>
      </c>
      <c r="L1" s="1" t="s">
        <v>25</v>
      </c>
      <c r="M1" s="1" t="s">
        <v>144</v>
      </c>
      <c r="N1" s="1" t="s">
        <v>35</v>
      </c>
      <c r="O1" s="1" t="s">
        <v>26</v>
      </c>
      <c r="P1" s="1" t="s">
        <v>1</v>
      </c>
      <c r="Q1" s="1" t="s">
        <v>20</v>
      </c>
      <c r="R1" s="1" t="s">
        <v>145</v>
      </c>
      <c r="S1" s="1" t="s">
        <v>27</v>
      </c>
      <c r="T1" s="1" t="s">
        <v>24</v>
      </c>
      <c r="U1" s="1" t="s">
        <v>10</v>
      </c>
      <c r="V1" s="1" t="s">
        <v>4</v>
      </c>
      <c r="W1" s="1" t="s">
        <v>9</v>
      </c>
      <c r="X1" s="1" t="s">
        <v>13</v>
      </c>
      <c r="Y1" s="1" t="s">
        <v>16</v>
      </c>
      <c r="Z1" s="1" t="s">
        <v>146</v>
      </c>
      <c r="AA1" s="1" t="s">
        <v>15</v>
      </c>
      <c r="AB1" s="1" t="s">
        <v>14</v>
      </c>
      <c r="AC1" s="1" t="s">
        <v>11</v>
      </c>
      <c r="AD1" s="1" t="s">
        <v>12</v>
      </c>
      <c r="AE1" s="1" t="s">
        <v>28</v>
      </c>
      <c r="AF1" s="1" t="s">
        <v>147</v>
      </c>
      <c r="AG1" s="1" t="s">
        <v>148</v>
      </c>
      <c r="AH1" s="1" t="s">
        <v>17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2</v>
      </c>
      <c r="AN1" s="1" t="s">
        <v>149</v>
      </c>
      <c r="AO1" s="1" t="s">
        <v>150</v>
      </c>
      <c r="AP1" s="1" t="s">
        <v>151</v>
      </c>
      <c r="AQ1" s="1" t="s">
        <v>37</v>
      </c>
      <c r="AR1" s="1" t="s">
        <v>48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44</v>
      </c>
      <c r="AZ1" s="1" t="s">
        <v>45</v>
      </c>
      <c r="BA1" s="1" t="s">
        <v>158</v>
      </c>
      <c r="BB1" s="1" t="s">
        <v>159</v>
      </c>
      <c r="BC1" s="1" t="s">
        <v>160</v>
      </c>
      <c r="BD1" s="1" t="s">
        <v>48</v>
      </c>
      <c r="BE1" s="1" t="s">
        <v>161</v>
      </c>
      <c r="BF1" s="1" t="s">
        <v>162</v>
      </c>
      <c r="BG1" s="1" t="s">
        <v>48</v>
      </c>
      <c r="BH1" s="1" t="s">
        <v>49</v>
      </c>
      <c r="BI1" s="1" t="s">
        <v>50</v>
      </c>
    </row>
    <row r="2" spans="1:61" x14ac:dyDescent="0.25">
      <c r="A2" s="2">
        <v>64</v>
      </c>
      <c r="B2" s="2" t="s">
        <v>163</v>
      </c>
      <c r="C2" s="2" t="s">
        <v>164</v>
      </c>
      <c r="D2" s="2" t="s">
        <v>165</v>
      </c>
      <c r="E2" s="2" t="s">
        <v>166</v>
      </c>
      <c r="F2" s="2" t="s">
        <v>167</v>
      </c>
      <c r="G2" s="2" t="s">
        <v>110</v>
      </c>
      <c r="H2" s="2" t="s">
        <v>168</v>
      </c>
      <c r="I2" s="2" t="s">
        <v>169</v>
      </c>
      <c r="J2" s="2" t="s">
        <v>170</v>
      </c>
      <c r="K2" s="2" t="s">
        <v>171</v>
      </c>
      <c r="L2" s="2" t="s">
        <v>103</v>
      </c>
      <c r="M2" s="2" t="s">
        <v>172</v>
      </c>
      <c r="N2" s="2" t="s">
        <v>173</v>
      </c>
      <c r="O2" s="2" t="s">
        <v>73</v>
      </c>
      <c r="P2" s="2" t="s">
        <v>163</v>
      </c>
      <c r="Q2" s="2" t="s">
        <v>174</v>
      </c>
      <c r="R2" s="2" t="s">
        <v>175</v>
      </c>
      <c r="S2" s="2" t="s">
        <v>104</v>
      </c>
      <c r="T2" s="2" t="s">
        <v>71</v>
      </c>
      <c r="U2" s="2" t="s">
        <v>176</v>
      </c>
      <c r="V2" s="2" t="s">
        <v>177</v>
      </c>
      <c r="W2" s="2"/>
      <c r="X2" s="2" t="s">
        <v>178</v>
      </c>
      <c r="Y2" s="2" t="s">
        <v>66</v>
      </c>
      <c r="Z2" s="2" t="s">
        <v>179</v>
      </c>
      <c r="AA2" s="2" t="s">
        <v>180</v>
      </c>
      <c r="AB2" s="2" t="s">
        <v>66</v>
      </c>
      <c r="AC2" s="2" t="s">
        <v>181</v>
      </c>
      <c r="AD2" s="2" t="s">
        <v>182</v>
      </c>
      <c r="AE2" s="2" t="s">
        <v>105</v>
      </c>
      <c r="AF2" s="2" t="s">
        <v>183</v>
      </c>
      <c r="AG2" s="2" t="s">
        <v>184</v>
      </c>
      <c r="AH2" s="2" t="s">
        <v>185</v>
      </c>
      <c r="AI2" s="2" t="s">
        <v>106</v>
      </c>
      <c r="AJ2" s="2" t="s">
        <v>163</v>
      </c>
      <c r="AK2" s="2" t="s">
        <v>108</v>
      </c>
      <c r="AL2" s="2" t="s">
        <v>163</v>
      </c>
      <c r="AM2" s="2" t="s">
        <v>71</v>
      </c>
      <c r="AN2" s="2" t="s">
        <v>171</v>
      </c>
      <c r="AO2" s="2" t="s">
        <v>186</v>
      </c>
      <c r="AP2" s="2" t="s">
        <v>187</v>
      </c>
      <c r="AQ2" s="2" t="s">
        <v>82</v>
      </c>
      <c r="AR2" s="2" t="s">
        <v>86</v>
      </c>
      <c r="AS2" s="2" t="s">
        <v>82</v>
      </c>
      <c r="AT2" s="2" t="s">
        <v>82</v>
      </c>
      <c r="AU2" s="2" t="s">
        <v>188</v>
      </c>
      <c r="AV2" s="2" t="s">
        <v>189</v>
      </c>
      <c r="AW2" s="2"/>
      <c r="AX2" s="2" t="s">
        <v>82</v>
      </c>
      <c r="AY2" s="2" t="s">
        <v>82</v>
      </c>
      <c r="AZ2" s="2" t="s">
        <v>82</v>
      </c>
      <c r="BA2" s="2" t="s">
        <v>85</v>
      </c>
      <c r="BB2" s="2" t="s">
        <v>82</v>
      </c>
      <c r="BC2" s="2" t="s">
        <v>190</v>
      </c>
      <c r="BD2" s="2" t="s">
        <v>86</v>
      </c>
      <c r="BE2" s="2"/>
      <c r="BF2" s="2"/>
      <c r="BG2" s="2" t="s">
        <v>164</v>
      </c>
      <c r="BH2" s="2" t="s">
        <v>87</v>
      </c>
      <c r="BI2" s="2" t="s">
        <v>191</v>
      </c>
    </row>
    <row r="3" spans="1:61" x14ac:dyDescent="0.25">
      <c r="A3" s="2">
        <v>68</v>
      </c>
      <c r="B3" s="2" t="s">
        <v>192</v>
      </c>
      <c r="C3" s="2" t="s">
        <v>193</v>
      </c>
      <c r="D3" s="2" t="s">
        <v>194</v>
      </c>
      <c r="E3" s="2" t="s">
        <v>195</v>
      </c>
      <c r="F3" s="2" t="s">
        <v>167</v>
      </c>
      <c r="G3" s="2" t="s">
        <v>110</v>
      </c>
      <c r="H3" s="2" t="s">
        <v>196</v>
      </c>
      <c r="I3" s="2" t="s">
        <v>197</v>
      </c>
      <c r="J3" s="2" t="s">
        <v>198</v>
      </c>
      <c r="K3" s="2" t="s">
        <v>199</v>
      </c>
      <c r="L3" s="2" t="s">
        <v>103</v>
      </c>
      <c r="M3" s="2" t="s">
        <v>200</v>
      </c>
      <c r="N3" s="2" t="s">
        <v>201</v>
      </c>
      <c r="O3" s="2" t="s">
        <v>73</v>
      </c>
      <c r="P3" s="2" t="s">
        <v>192</v>
      </c>
      <c r="Q3" s="2" t="s">
        <v>202</v>
      </c>
      <c r="R3" s="2" t="s">
        <v>199</v>
      </c>
      <c r="S3" s="2" t="s">
        <v>104</v>
      </c>
      <c r="T3" s="2" t="s">
        <v>71</v>
      </c>
      <c r="U3" s="2" t="s">
        <v>203</v>
      </c>
      <c r="V3" s="2" t="s">
        <v>177</v>
      </c>
      <c r="W3" s="2"/>
      <c r="X3" s="2" t="s">
        <v>204</v>
      </c>
      <c r="Y3" s="2" t="s">
        <v>66</v>
      </c>
      <c r="Z3" s="2" t="s">
        <v>205</v>
      </c>
      <c r="AA3" s="2" t="s">
        <v>206</v>
      </c>
      <c r="AB3" s="2" t="s">
        <v>66</v>
      </c>
      <c r="AC3" s="2" t="s">
        <v>207</v>
      </c>
      <c r="AD3" s="2"/>
      <c r="AE3" s="2" t="s">
        <v>105</v>
      </c>
      <c r="AF3" s="2" t="s">
        <v>208</v>
      </c>
      <c r="AG3" s="2" t="s">
        <v>209</v>
      </c>
      <c r="AH3" s="2" t="s">
        <v>210</v>
      </c>
      <c r="AI3" s="2" t="s">
        <v>106</v>
      </c>
      <c r="AJ3" s="2" t="s">
        <v>192</v>
      </c>
      <c r="AK3" s="2" t="s">
        <v>108</v>
      </c>
      <c r="AL3" s="2" t="s">
        <v>192</v>
      </c>
      <c r="AM3" s="2" t="s">
        <v>54</v>
      </c>
      <c r="AN3" s="2" t="s">
        <v>211</v>
      </c>
      <c r="AO3" s="2" t="s">
        <v>212</v>
      </c>
      <c r="AP3" s="2" t="s">
        <v>187</v>
      </c>
      <c r="AQ3" s="2" t="s">
        <v>83</v>
      </c>
      <c r="AR3" s="2" t="s">
        <v>213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213</v>
      </c>
      <c r="BE3" s="2" t="s">
        <v>111</v>
      </c>
      <c r="BF3" s="2"/>
      <c r="BG3" s="2" t="s">
        <v>193</v>
      </c>
      <c r="BH3" s="2" t="s">
        <v>87</v>
      </c>
      <c r="BI3" s="2" t="s">
        <v>214</v>
      </c>
    </row>
    <row r="4" spans="1:61" x14ac:dyDescent="0.25">
      <c r="A4" s="2">
        <v>72</v>
      </c>
      <c r="B4" s="2" t="s">
        <v>215</v>
      </c>
      <c r="C4" s="2" t="s">
        <v>216</v>
      </c>
      <c r="D4" s="2" t="s">
        <v>194</v>
      </c>
      <c r="E4" s="2" t="s">
        <v>195</v>
      </c>
      <c r="F4" s="2" t="s">
        <v>167</v>
      </c>
      <c r="G4" s="2" t="s">
        <v>110</v>
      </c>
      <c r="H4" s="2" t="s">
        <v>217</v>
      </c>
      <c r="I4" s="2" t="s">
        <v>197</v>
      </c>
      <c r="J4" s="2" t="s">
        <v>198</v>
      </c>
      <c r="K4" s="2" t="s">
        <v>199</v>
      </c>
      <c r="L4" s="2" t="s">
        <v>103</v>
      </c>
      <c r="M4" s="2" t="s">
        <v>200</v>
      </c>
      <c r="N4" s="2" t="s">
        <v>201</v>
      </c>
      <c r="O4" s="2" t="s">
        <v>73</v>
      </c>
      <c r="P4" s="2" t="s">
        <v>215</v>
      </c>
      <c r="Q4" s="2" t="s">
        <v>202</v>
      </c>
      <c r="R4" s="2" t="s">
        <v>199</v>
      </c>
      <c r="S4" s="2" t="s">
        <v>104</v>
      </c>
      <c r="T4" s="2" t="s">
        <v>71</v>
      </c>
      <c r="U4" s="2" t="s">
        <v>218</v>
      </c>
      <c r="V4" s="2" t="s">
        <v>219</v>
      </c>
      <c r="W4" s="2"/>
      <c r="X4" s="2" t="s">
        <v>220</v>
      </c>
      <c r="Y4" s="2" t="s">
        <v>66</v>
      </c>
      <c r="Z4" s="2" t="s">
        <v>221</v>
      </c>
      <c r="AA4" s="2" t="s">
        <v>222</v>
      </c>
      <c r="AB4" s="2" t="s">
        <v>66</v>
      </c>
      <c r="AC4" s="2" t="s">
        <v>223</v>
      </c>
      <c r="AD4" s="2" t="s">
        <v>224</v>
      </c>
      <c r="AE4" s="2" t="s">
        <v>105</v>
      </c>
      <c r="AF4" s="2" t="s">
        <v>225</v>
      </c>
      <c r="AG4" s="2" t="s">
        <v>226</v>
      </c>
      <c r="AH4" s="2" t="s">
        <v>227</v>
      </c>
      <c r="AI4" s="2" t="s">
        <v>106</v>
      </c>
      <c r="AJ4" s="2" t="s">
        <v>215</v>
      </c>
      <c r="AK4" s="2" t="s">
        <v>108</v>
      </c>
      <c r="AL4" s="2" t="s">
        <v>215</v>
      </c>
      <c r="AM4" s="2" t="s">
        <v>228</v>
      </c>
      <c r="AN4" s="2" t="s">
        <v>211</v>
      </c>
      <c r="AO4" s="2" t="s">
        <v>229</v>
      </c>
      <c r="AP4" s="2" t="s">
        <v>187</v>
      </c>
      <c r="AQ4" s="2" t="s">
        <v>83</v>
      </c>
      <c r="AR4" s="2" t="s">
        <v>230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 t="s">
        <v>231</v>
      </c>
      <c r="BE4" s="2" t="s">
        <v>232</v>
      </c>
      <c r="BF4" s="2"/>
      <c r="BG4" s="2" t="s">
        <v>216</v>
      </c>
      <c r="BH4" s="2" t="s">
        <v>87</v>
      </c>
      <c r="BI4" s="2" t="s">
        <v>233</v>
      </c>
    </row>
    <row r="7" spans="1:61" x14ac:dyDescent="0.25">
      <c r="A7" t="s">
        <v>138</v>
      </c>
      <c r="B7" t="s">
        <v>1</v>
      </c>
      <c r="C7" t="s">
        <v>139</v>
      </c>
      <c r="D7" t="s">
        <v>36</v>
      </c>
      <c r="E7" t="s">
        <v>140</v>
      </c>
      <c r="F7" t="s">
        <v>141</v>
      </c>
      <c r="G7" t="s">
        <v>34</v>
      </c>
      <c r="H7" t="s">
        <v>3</v>
      </c>
      <c r="I7" t="s">
        <v>142</v>
      </c>
      <c r="J7" t="s">
        <v>18</v>
      </c>
      <c r="K7" t="s">
        <v>143</v>
      </c>
      <c r="L7" t="s">
        <v>25</v>
      </c>
      <c r="M7" t="s">
        <v>144</v>
      </c>
      <c r="N7" t="s">
        <v>35</v>
      </c>
      <c r="O7" t="s">
        <v>26</v>
      </c>
      <c r="P7" t="s">
        <v>1</v>
      </c>
      <c r="Q7" t="s">
        <v>234</v>
      </c>
      <c r="R7" t="s">
        <v>235</v>
      </c>
      <c r="S7" t="s">
        <v>27</v>
      </c>
      <c r="T7" t="s">
        <v>24</v>
      </c>
      <c r="U7" t="s">
        <v>10</v>
      </c>
      <c r="V7" t="s">
        <v>4</v>
      </c>
      <c r="W7" t="s">
        <v>9</v>
      </c>
      <c r="X7" t="s">
        <v>13</v>
      </c>
      <c r="Y7" t="s">
        <v>16</v>
      </c>
      <c r="Z7" t="s">
        <v>146</v>
      </c>
      <c r="AA7" t="s">
        <v>15</v>
      </c>
      <c r="AB7" t="s">
        <v>14</v>
      </c>
      <c r="AC7" t="s">
        <v>11</v>
      </c>
      <c r="AD7" t="s">
        <v>12</v>
      </c>
      <c r="AE7" t="s">
        <v>28</v>
      </c>
      <c r="AF7" t="s">
        <v>147</v>
      </c>
      <c r="AG7" t="s">
        <v>148</v>
      </c>
      <c r="AH7" t="s">
        <v>17</v>
      </c>
      <c r="AI7" t="s">
        <v>29</v>
      </c>
      <c r="AJ7" t="s">
        <v>30</v>
      </c>
      <c r="AK7" t="s">
        <v>31</v>
      </c>
      <c r="AL7" t="s">
        <v>32</v>
      </c>
      <c r="AM7" t="s">
        <v>2</v>
      </c>
      <c r="AN7" t="s">
        <v>149</v>
      </c>
      <c r="AO7" t="s">
        <v>150</v>
      </c>
      <c r="AP7" t="s">
        <v>151</v>
      </c>
      <c r="AQ7" t="s">
        <v>37</v>
      </c>
      <c r="AR7" t="s">
        <v>48</v>
      </c>
      <c r="AS7" t="s">
        <v>152</v>
      </c>
      <c r="AT7" t="s">
        <v>153</v>
      </c>
      <c r="AU7" t="s">
        <v>154</v>
      </c>
      <c r="AV7" t="s">
        <v>155</v>
      </c>
      <c r="AW7" t="s">
        <v>156</v>
      </c>
      <c r="AX7" t="s">
        <v>157</v>
      </c>
      <c r="AY7" t="s">
        <v>44</v>
      </c>
      <c r="AZ7" t="s">
        <v>45</v>
      </c>
      <c r="BA7" t="s">
        <v>158</v>
      </c>
      <c r="BB7" t="s">
        <v>159</v>
      </c>
      <c r="BC7" t="s">
        <v>160</v>
      </c>
      <c r="BD7" t="s">
        <v>48</v>
      </c>
      <c r="BE7" t="s">
        <v>161</v>
      </c>
      <c r="BF7" t="s">
        <v>162</v>
      </c>
      <c r="BG7" t="s">
        <v>48</v>
      </c>
      <c r="BH7" t="s">
        <v>49</v>
      </c>
      <c r="BI7" t="s">
        <v>50</v>
      </c>
    </row>
    <row r="8" spans="1:61" x14ac:dyDescent="0.25">
      <c r="A8">
        <v>46</v>
      </c>
      <c r="B8">
        <v>2345789042</v>
      </c>
      <c r="C8" t="s">
        <v>236</v>
      </c>
      <c r="D8" t="s">
        <v>165</v>
      </c>
      <c r="E8" t="s">
        <v>166</v>
      </c>
      <c r="F8" t="s">
        <v>167</v>
      </c>
      <c r="G8" t="s">
        <v>110</v>
      </c>
      <c r="H8" t="s">
        <v>168</v>
      </c>
      <c r="I8" t="s">
        <v>169</v>
      </c>
      <c r="J8">
        <v>5812</v>
      </c>
      <c r="K8" t="s">
        <v>171</v>
      </c>
      <c r="L8">
        <v>9380500950</v>
      </c>
      <c r="M8" t="s">
        <v>172</v>
      </c>
      <c r="N8">
        <v>168449</v>
      </c>
      <c r="O8" t="s">
        <v>73</v>
      </c>
      <c r="P8">
        <v>2345789042</v>
      </c>
      <c r="Q8">
        <v>10</v>
      </c>
      <c r="R8" t="s">
        <v>175</v>
      </c>
      <c r="S8" t="s">
        <v>104</v>
      </c>
      <c r="T8" t="s">
        <v>71</v>
      </c>
      <c r="U8" t="s">
        <v>237</v>
      </c>
      <c r="V8">
        <v>4549110000000</v>
      </c>
      <c r="X8" t="s">
        <v>178</v>
      </c>
      <c r="Y8" t="s">
        <v>66</v>
      </c>
      <c r="Z8" t="s">
        <v>238</v>
      </c>
      <c r="AA8">
        <v>936</v>
      </c>
      <c r="AB8" t="s">
        <v>66</v>
      </c>
      <c r="AC8" t="s">
        <v>181</v>
      </c>
      <c r="AD8" t="s">
        <v>182</v>
      </c>
      <c r="AE8">
        <v>8410</v>
      </c>
      <c r="AF8" t="s">
        <v>239</v>
      </c>
      <c r="AG8" t="s">
        <v>240</v>
      </c>
      <c r="AH8" t="s">
        <v>185</v>
      </c>
      <c r="AI8">
        <v>111052</v>
      </c>
      <c r="AK8" t="s">
        <v>108</v>
      </c>
      <c r="AL8">
        <v>9380579889</v>
      </c>
      <c r="AM8" t="s">
        <v>71</v>
      </c>
      <c r="AN8" t="s">
        <v>171</v>
      </c>
      <c r="AO8">
        <v>18943954076</v>
      </c>
      <c r="AP8" t="s">
        <v>187</v>
      </c>
      <c r="AQ8" t="s">
        <v>82</v>
      </c>
      <c r="AR8" t="s">
        <v>86</v>
      </c>
      <c r="AS8" t="s">
        <v>82</v>
      </c>
      <c r="AT8" t="s">
        <v>82</v>
      </c>
      <c r="AU8" t="s">
        <v>241</v>
      </c>
      <c r="AV8" t="s">
        <v>242</v>
      </c>
      <c r="AX8" t="s">
        <v>82</v>
      </c>
      <c r="AY8" t="s">
        <v>82</v>
      </c>
      <c r="AZ8" t="s">
        <v>82</v>
      </c>
      <c r="BA8" t="s">
        <v>85</v>
      </c>
      <c r="BB8" t="s">
        <v>82</v>
      </c>
      <c r="BC8" t="s">
        <v>190</v>
      </c>
      <c r="BD8" t="s">
        <v>213</v>
      </c>
      <c r="BG8" t="s">
        <v>236</v>
      </c>
      <c r="BH8" t="s">
        <v>87</v>
      </c>
      <c r="BI8" s="28">
        <v>46093.918814004632</v>
      </c>
    </row>
    <row r="12" spans="1:61" x14ac:dyDescent="0.25">
      <c r="A12" t="s">
        <v>138</v>
      </c>
      <c r="B12" t="s">
        <v>1</v>
      </c>
      <c r="C12" t="s">
        <v>139</v>
      </c>
      <c r="D12" t="s">
        <v>36</v>
      </c>
      <c r="E12" t="s">
        <v>140</v>
      </c>
      <c r="F12" t="s">
        <v>141</v>
      </c>
      <c r="G12" t="s">
        <v>34</v>
      </c>
      <c r="H12" t="s">
        <v>3</v>
      </c>
      <c r="I12" t="s">
        <v>142</v>
      </c>
      <c r="J12" t="s">
        <v>18</v>
      </c>
      <c r="K12" t="s">
        <v>143</v>
      </c>
      <c r="L12" t="s">
        <v>25</v>
      </c>
      <c r="M12" t="s">
        <v>144</v>
      </c>
      <c r="N12" t="s">
        <v>35</v>
      </c>
      <c r="O12" t="s">
        <v>26</v>
      </c>
      <c r="P12" t="s">
        <v>1</v>
      </c>
      <c r="Q12" t="s">
        <v>234</v>
      </c>
      <c r="R12" t="s">
        <v>235</v>
      </c>
      <c r="S12" t="s">
        <v>27</v>
      </c>
      <c r="T12" t="s">
        <v>24</v>
      </c>
      <c r="U12" t="s">
        <v>10</v>
      </c>
      <c r="V12" t="s">
        <v>4</v>
      </c>
      <c r="W12" t="s">
        <v>9</v>
      </c>
      <c r="X12" t="s">
        <v>13</v>
      </c>
      <c r="Y12" t="s">
        <v>16</v>
      </c>
      <c r="Z12" t="s">
        <v>146</v>
      </c>
      <c r="AA12" t="s">
        <v>15</v>
      </c>
      <c r="AB12" t="s">
        <v>14</v>
      </c>
      <c r="AC12" t="s">
        <v>11</v>
      </c>
      <c r="AD12" t="s">
        <v>12</v>
      </c>
      <c r="AE12" t="s">
        <v>28</v>
      </c>
      <c r="AF12" t="s">
        <v>147</v>
      </c>
      <c r="AG12" t="s">
        <v>148</v>
      </c>
      <c r="AH12" t="s">
        <v>17</v>
      </c>
      <c r="AI12" t="s">
        <v>29</v>
      </c>
      <c r="AJ12" t="s">
        <v>30</v>
      </c>
      <c r="AK12" t="s">
        <v>31</v>
      </c>
      <c r="AL12" t="s">
        <v>32</v>
      </c>
      <c r="AM12" t="s">
        <v>2</v>
      </c>
      <c r="AN12" t="s">
        <v>149</v>
      </c>
      <c r="AO12" t="s">
        <v>150</v>
      </c>
      <c r="AP12" t="s">
        <v>151</v>
      </c>
      <c r="AQ12" t="s">
        <v>37</v>
      </c>
      <c r="AR12" t="s">
        <v>48</v>
      </c>
      <c r="AS12" t="s">
        <v>152</v>
      </c>
      <c r="AT12" t="s">
        <v>153</v>
      </c>
      <c r="AU12" t="s">
        <v>154</v>
      </c>
      <c r="AV12" t="s">
        <v>155</v>
      </c>
      <c r="AW12" t="s">
        <v>156</v>
      </c>
      <c r="AX12" t="s">
        <v>157</v>
      </c>
      <c r="AY12" t="s">
        <v>44</v>
      </c>
      <c r="AZ12" t="s">
        <v>45</v>
      </c>
      <c r="BA12" t="s">
        <v>158</v>
      </c>
      <c r="BB12" t="s">
        <v>159</v>
      </c>
      <c r="BC12" t="s">
        <v>160</v>
      </c>
      <c r="BD12" t="s">
        <v>48</v>
      </c>
      <c r="BE12" t="s">
        <v>161</v>
      </c>
      <c r="BF12" t="s">
        <v>162</v>
      </c>
      <c r="BG12" t="s">
        <v>48</v>
      </c>
      <c r="BH12" t="s">
        <v>49</v>
      </c>
      <c r="BI12" t="s">
        <v>50</v>
      </c>
    </row>
    <row r="13" spans="1:61" x14ac:dyDescent="0.25">
      <c r="A13">
        <v>46</v>
      </c>
      <c r="B13">
        <v>2345789042</v>
      </c>
      <c r="C13" t="s">
        <v>236</v>
      </c>
      <c r="D13" t="s">
        <v>165</v>
      </c>
      <c r="E13" t="s">
        <v>166</v>
      </c>
      <c r="F13" t="s">
        <v>167</v>
      </c>
      <c r="G13" t="s">
        <v>110</v>
      </c>
      <c r="H13" t="s">
        <v>168</v>
      </c>
      <c r="I13" t="s">
        <v>169</v>
      </c>
      <c r="J13">
        <v>5812</v>
      </c>
      <c r="K13" t="s">
        <v>171</v>
      </c>
      <c r="L13">
        <v>9380500950</v>
      </c>
      <c r="M13" t="s">
        <v>172</v>
      </c>
      <c r="N13">
        <v>168449</v>
      </c>
      <c r="O13" t="s">
        <v>73</v>
      </c>
      <c r="P13">
        <v>2345789042</v>
      </c>
      <c r="Q13">
        <v>10</v>
      </c>
      <c r="R13" t="s">
        <v>175</v>
      </c>
      <c r="S13" t="s">
        <v>104</v>
      </c>
      <c r="T13" t="s">
        <v>71</v>
      </c>
      <c r="U13" t="s">
        <v>237</v>
      </c>
      <c r="V13">
        <v>4549110000000</v>
      </c>
      <c r="X13" t="s">
        <v>178</v>
      </c>
      <c r="Y13" t="s">
        <v>66</v>
      </c>
      <c r="Z13" t="s">
        <v>238</v>
      </c>
      <c r="AA13">
        <v>936</v>
      </c>
      <c r="AB13" t="s">
        <v>66</v>
      </c>
      <c r="AC13" t="s">
        <v>181</v>
      </c>
      <c r="AD13" t="s">
        <v>182</v>
      </c>
      <c r="AE13">
        <v>8410</v>
      </c>
      <c r="AF13" t="s">
        <v>239</v>
      </c>
      <c r="AG13" t="s">
        <v>240</v>
      </c>
      <c r="AH13" t="s">
        <v>185</v>
      </c>
      <c r="AI13">
        <v>111052</v>
      </c>
      <c r="AK13" t="s">
        <v>108</v>
      </c>
      <c r="AL13">
        <v>9380579889</v>
      </c>
      <c r="AM13" t="s">
        <v>71</v>
      </c>
      <c r="AN13" t="s">
        <v>171</v>
      </c>
      <c r="AO13">
        <v>18943954076</v>
      </c>
      <c r="AP13" t="s">
        <v>187</v>
      </c>
      <c r="AQ13" t="s">
        <v>82</v>
      </c>
      <c r="AR13" t="s">
        <v>86</v>
      </c>
      <c r="AS13" t="s">
        <v>82</v>
      </c>
      <c r="AT13" t="s">
        <v>82</v>
      </c>
      <c r="AU13" t="s">
        <v>241</v>
      </c>
      <c r="AV13" t="s">
        <v>242</v>
      </c>
      <c r="AX13" t="s">
        <v>82</v>
      </c>
      <c r="AY13" t="s">
        <v>82</v>
      </c>
      <c r="AZ13" t="s">
        <v>82</v>
      </c>
      <c r="BA13" t="s">
        <v>85</v>
      </c>
      <c r="BB13" t="s">
        <v>82</v>
      </c>
      <c r="BC13" t="s">
        <v>190</v>
      </c>
      <c r="BD13" t="s">
        <v>213</v>
      </c>
      <c r="BG13" t="s">
        <v>236</v>
      </c>
      <c r="BH13" t="s">
        <v>87</v>
      </c>
      <c r="BI13" s="28">
        <v>46093.918814004632</v>
      </c>
    </row>
    <row r="14" spans="1:61" x14ac:dyDescent="0.25">
      <c r="A14">
        <v>50</v>
      </c>
      <c r="AO14">
        <v>9382388446</v>
      </c>
      <c r="AP14" t="s">
        <v>187</v>
      </c>
      <c r="AQ14" t="s">
        <v>82</v>
      </c>
      <c r="AR14" t="s">
        <v>231</v>
      </c>
      <c r="AS14" t="s">
        <v>82</v>
      </c>
      <c r="AT14" t="s">
        <v>82</v>
      </c>
      <c r="AU14" t="s">
        <v>188</v>
      </c>
      <c r="AV14" t="s">
        <v>243</v>
      </c>
      <c r="AX14" t="s">
        <v>82</v>
      </c>
      <c r="AY14" t="s">
        <v>82</v>
      </c>
      <c r="AZ14" t="s">
        <v>82</v>
      </c>
      <c r="BA14" t="s">
        <v>85</v>
      </c>
      <c r="BB14" t="s">
        <v>82</v>
      </c>
      <c r="BC14" t="s">
        <v>190</v>
      </c>
      <c r="BD14" t="s">
        <v>231</v>
      </c>
      <c r="BG14" t="s">
        <v>244</v>
      </c>
      <c r="BH14" t="s">
        <v>87</v>
      </c>
      <c r="BI14" s="28">
        <v>46093.926339733793</v>
      </c>
    </row>
    <row r="15" spans="1:61" x14ac:dyDescent="0.25">
      <c r="A15">
        <v>54</v>
      </c>
      <c r="AO15">
        <v>9380834300</v>
      </c>
      <c r="AP15" t="s">
        <v>187</v>
      </c>
      <c r="AQ15" t="s">
        <v>82</v>
      </c>
      <c r="AR15" t="s">
        <v>213</v>
      </c>
      <c r="AS15" t="s">
        <v>82</v>
      </c>
      <c r="AT15" t="s">
        <v>82</v>
      </c>
      <c r="AU15" t="s">
        <v>241</v>
      </c>
      <c r="AV15" t="s">
        <v>245</v>
      </c>
      <c r="AX15" t="s">
        <v>82</v>
      </c>
      <c r="AY15" t="s">
        <v>82</v>
      </c>
      <c r="AZ15" t="s">
        <v>82</v>
      </c>
      <c r="BA15" t="s">
        <v>85</v>
      </c>
      <c r="BB15" t="s">
        <v>82</v>
      </c>
      <c r="BC15" t="s">
        <v>190</v>
      </c>
      <c r="BD15" t="s">
        <v>213</v>
      </c>
      <c r="BG15" t="s">
        <v>246</v>
      </c>
      <c r="BH15" t="s">
        <v>87</v>
      </c>
      <c r="BI15" s="28">
        <v>46093.936960370367</v>
      </c>
    </row>
    <row r="16" spans="1:61" x14ac:dyDescent="0.25">
      <c r="A16">
        <v>60</v>
      </c>
      <c r="AO16">
        <v>9380744665</v>
      </c>
      <c r="AP16" t="s">
        <v>187</v>
      </c>
      <c r="AQ16" t="s">
        <v>83</v>
      </c>
      <c r="AR16" t="s">
        <v>247</v>
      </c>
      <c r="BD16" t="s">
        <v>248</v>
      </c>
      <c r="BE16" t="s">
        <v>249</v>
      </c>
      <c r="BG16" t="s">
        <v>250</v>
      </c>
      <c r="BH16" t="s">
        <v>87</v>
      </c>
      <c r="BI16" s="28">
        <v>46093.944026944446</v>
      </c>
    </row>
    <row r="17" spans="1:61" x14ac:dyDescent="0.25">
      <c r="A17">
        <v>64</v>
      </c>
      <c r="B17">
        <v>9380579889</v>
      </c>
      <c r="C17" t="s">
        <v>164</v>
      </c>
      <c r="D17" t="s">
        <v>165</v>
      </c>
      <c r="E17" t="s">
        <v>166</v>
      </c>
      <c r="F17" t="s">
        <v>167</v>
      </c>
      <c r="G17" t="s">
        <v>110</v>
      </c>
      <c r="H17" t="s">
        <v>168</v>
      </c>
      <c r="I17" t="s">
        <v>169</v>
      </c>
      <c r="J17">
        <v>5812</v>
      </c>
      <c r="K17" t="s">
        <v>171</v>
      </c>
      <c r="L17">
        <v>9380500950</v>
      </c>
      <c r="M17" t="s">
        <v>172</v>
      </c>
      <c r="N17">
        <v>168449</v>
      </c>
      <c r="O17" t="s">
        <v>73</v>
      </c>
      <c r="P17">
        <v>9380579889</v>
      </c>
      <c r="Q17">
        <v>10</v>
      </c>
      <c r="R17" t="s">
        <v>175</v>
      </c>
      <c r="S17" t="s">
        <v>104</v>
      </c>
      <c r="T17" t="s">
        <v>71</v>
      </c>
      <c r="U17" t="s">
        <v>176</v>
      </c>
      <c r="V17">
        <v>4549110000000</v>
      </c>
      <c r="X17" t="s">
        <v>178</v>
      </c>
      <c r="Y17" t="s">
        <v>66</v>
      </c>
      <c r="Z17" t="s">
        <v>179</v>
      </c>
      <c r="AA17">
        <v>936</v>
      </c>
      <c r="AB17" t="s">
        <v>66</v>
      </c>
      <c r="AC17" t="s">
        <v>181</v>
      </c>
      <c r="AD17" t="s">
        <v>182</v>
      </c>
      <c r="AE17">
        <v>8410</v>
      </c>
      <c r="AF17" t="s">
        <v>183</v>
      </c>
      <c r="AG17" t="s">
        <v>184</v>
      </c>
      <c r="AH17" t="s">
        <v>185</v>
      </c>
      <c r="AI17">
        <v>111052</v>
      </c>
      <c r="AJ17">
        <v>9380579889</v>
      </c>
      <c r="AK17" t="s">
        <v>108</v>
      </c>
      <c r="AL17">
        <v>9380579889</v>
      </c>
      <c r="AM17" t="s">
        <v>71</v>
      </c>
      <c r="AN17" t="s">
        <v>171</v>
      </c>
      <c r="AO17">
        <v>3256789425</v>
      </c>
      <c r="AP17" t="s">
        <v>187</v>
      </c>
      <c r="AQ17" t="s">
        <v>82</v>
      </c>
      <c r="AR17" t="s">
        <v>86</v>
      </c>
      <c r="AS17" t="s">
        <v>82</v>
      </c>
      <c r="AT17" t="s">
        <v>82</v>
      </c>
      <c r="AU17" t="s">
        <v>188</v>
      </c>
      <c r="AV17" t="s">
        <v>189</v>
      </c>
      <c r="AX17" t="s">
        <v>82</v>
      </c>
      <c r="AY17" t="s">
        <v>82</v>
      </c>
      <c r="AZ17" t="s">
        <v>82</v>
      </c>
      <c r="BA17" t="s">
        <v>85</v>
      </c>
      <c r="BB17" t="s">
        <v>82</v>
      </c>
      <c r="BC17" t="s">
        <v>190</v>
      </c>
      <c r="BD17" t="s">
        <v>86</v>
      </c>
      <c r="BG17" t="s">
        <v>164</v>
      </c>
      <c r="BH17" t="s">
        <v>87</v>
      </c>
      <c r="BI17" s="28">
        <v>46097.561979039354</v>
      </c>
    </row>
    <row r="18" spans="1:61" x14ac:dyDescent="0.25">
      <c r="A18">
        <v>68</v>
      </c>
      <c r="B18">
        <v>9382432475</v>
      </c>
      <c r="C18" t="s">
        <v>193</v>
      </c>
      <c r="D18" t="s">
        <v>194</v>
      </c>
      <c r="E18" t="s">
        <v>195</v>
      </c>
      <c r="F18" t="s">
        <v>167</v>
      </c>
      <c r="G18" t="s">
        <v>110</v>
      </c>
      <c r="H18" t="s">
        <v>196</v>
      </c>
      <c r="I18" t="s">
        <v>197</v>
      </c>
      <c r="J18">
        <v>763</v>
      </c>
      <c r="K18" t="s">
        <v>199</v>
      </c>
      <c r="L18">
        <v>9380500950</v>
      </c>
      <c r="M18" t="s">
        <v>200</v>
      </c>
      <c r="N18">
        <v>0</v>
      </c>
      <c r="O18" t="s">
        <v>73</v>
      </c>
      <c r="P18">
        <v>9382432475</v>
      </c>
      <c r="Q18">
        <v>708</v>
      </c>
      <c r="R18" t="s">
        <v>199</v>
      </c>
      <c r="S18" t="s">
        <v>104</v>
      </c>
      <c r="T18" t="s">
        <v>71</v>
      </c>
      <c r="U18" t="s">
        <v>203</v>
      </c>
      <c r="V18">
        <v>4549110000000</v>
      </c>
      <c r="X18" t="s">
        <v>204</v>
      </c>
      <c r="Y18" t="s">
        <v>66</v>
      </c>
      <c r="Z18" t="s">
        <v>205</v>
      </c>
      <c r="AA18">
        <v>769</v>
      </c>
      <c r="AB18" t="s">
        <v>66</v>
      </c>
      <c r="AC18" t="s">
        <v>207</v>
      </c>
      <c r="AE18">
        <v>8410</v>
      </c>
      <c r="AF18" t="s">
        <v>208</v>
      </c>
      <c r="AG18" t="s">
        <v>209</v>
      </c>
      <c r="AH18" t="s">
        <v>210</v>
      </c>
      <c r="AI18">
        <v>111052</v>
      </c>
      <c r="AJ18">
        <v>9382432475</v>
      </c>
      <c r="AK18" t="s">
        <v>108</v>
      </c>
      <c r="AL18">
        <v>9382432475</v>
      </c>
      <c r="AM18" t="s">
        <v>54</v>
      </c>
      <c r="AN18" t="s">
        <v>211</v>
      </c>
      <c r="AO18">
        <v>4567789031</v>
      </c>
      <c r="AP18" t="s">
        <v>187</v>
      </c>
      <c r="AQ18" t="s">
        <v>83</v>
      </c>
      <c r="AR18" t="s">
        <v>213</v>
      </c>
      <c r="BD18" t="s">
        <v>213</v>
      </c>
      <c r="BE18" t="s">
        <v>111</v>
      </c>
      <c r="BG18" t="s">
        <v>193</v>
      </c>
      <c r="BH18" t="s">
        <v>87</v>
      </c>
      <c r="BI18" s="28">
        <v>46097.582982939814</v>
      </c>
    </row>
    <row r="19" spans="1:61" x14ac:dyDescent="0.25">
      <c r="A19">
        <v>72</v>
      </c>
      <c r="B19">
        <v>9381859397</v>
      </c>
      <c r="C19" t="s">
        <v>216</v>
      </c>
      <c r="D19" t="s">
        <v>194</v>
      </c>
      <c r="E19" t="s">
        <v>195</v>
      </c>
      <c r="F19" t="s">
        <v>167</v>
      </c>
      <c r="G19" t="s">
        <v>110</v>
      </c>
      <c r="H19" t="s">
        <v>217</v>
      </c>
      <c r="I19" t="s">
        <v>197</v>
      </c>
      <c r="J19">
        <v>763</v>
      </c>
      <c r="K19" t="s">
        <v>199</v>
      </c>
      <c r="L19">
        <v>9380500950</v>
      </c>
      <c r="M19" t="s">
        <v>200</v>
      </c>
      <c r="N19">
        <v>0</v>
      </c>
      <c r="O19" t="s">
        <v>73</v>
      </c>
      <c r="P19">
        <v>9381859397</v>
      </c>
      <c r="Q19">
        <v>708</v>
      </c>
      <c r="R19" t="s">
        <v>199</v>
      </c>
      <c r="S19" t="s">
        <v>104</v>
      </c>
      <c r="T19" t="s">
        <v>71</v>
      </c>
      <c r="U19" t="s">
        <v>218</v>
      </c>
      <c r="V19">
        <v>498357253885</v>
      </c>
      <c r="X19" t="s">
        <v>220</v>
      </c>
      <c r="Y19" t="s">
        <v>66</v>
      </c>
      <c r="Z19" t="s">
        <v>221</v>
      </c>
      <c r="AA19">
        <v>662</v>
      </c>
      <c r="AB19" t="s">
        <v>66</v>
      </c>
      <c r="AC19" t="s">
        <v>223</v>
      </c>
      <c r="AD19" t="s">
        <v>224</v>
      </c>
      <c r="AE19">
        <v>8410</v>
      </c>
      <c r="AF19" t="s">
        <v>225</v>
      </c>
      <c r="AG19" t="s">
        <v>226</v>
      </c>
      <c r="AH19" t="s">
        <v>227</v>
      </c>
      <c r="AI19">
        <v>111052</v>
      </c>
      <c r="AJ19">
        <v>9381859397</v>
      </c>
      <c r="AK19" t="s">
        <v>108</v>
      </c>
      <c r="AL19">
        <v>9381859397</v>
      </c>
      <c r="AM19" t="s">
        <v>228</v>
      </c>
      <c r="AN19" t="s">
        <v>211</v>
      </c>
      <c r="AO19">
        <v>8654038564</v>
      </c>
      <c r="AP19" t="s">
        <v>187</v>
      </c>
      <c r="AQ19" t="s">
        <v>83</v>
      </c>
      <c r="AR19" t="s">
        <v>230</v>
      </c>
      <c r="BD19" t="s">
        <v>231</v>
      </c>
      <c r="BE19" t="s">
        <v>232</v>
      </c>
      <c r="BG19" t="s">
        <v>216</v>
      </c>
      <c r="BH19" t="s">
        <v>87</v>
      </c>
      <c r="BI19" s="28">
        <v>46097.586235486109</v>
      </c>
    </row>
    <row r="20" spans="1:61" x14ac:dyDescent="0.25">
      <c r="A20">
        <v>90</v>
      </c>
      <c r="AO20">
        <v>9382388446</v>
      </c>
      <c r="AP20" t="s">
        <v>187</v>
      </c>
      <c r="AQ20" t="s">
        <v>82</v>
      </c>
      <c r="AR20" t="s">
        <v>86</v>
      </c>
      <c r="AS20" t="s">
        <v>82</v>
      </c>
      <c r="AT20" t="s">
        <v>82</v>
      </c>
      <c r="AU20" t="s">
        <v>241</v>
      </c>
      <c r="AV20" t="s">
        <v>243</v>
      </c>
      <c r="AX20" t="s">
        <v>82</v>
      </c>
      <c r="AY20" t="s">
        <v>82</v>
      </c>
      <c r="AZ20" t="s">
        <v>82</v>
      </c>
      <c r="BA20" t="s">
        <v>85</v>
      </c>
      <c r="BB20" t="s">
        <v>82</v>
      </c>
      <c r="BC20" t="s">
        <v>190</v>
      </c>
      <c r="BD20" t="s">
        <v>213</v>
      </c>
      <c r="BG20" t="s">
        <v>164</v>
      </c>
      <c r="BH20" t="s">
        <v>87</v>
      </c>
      <c r="BI20" s="28">
        <v>46111.61358798611</v>
      </c>
    </row>
    <row r="23" spans="1:61" ht="30" x14ac:dyDescent="0.25">
      <c r="A23" s="30" t="s">
        <v>138</v>
      </c>
      <c r="B23" s="31" t="s">
        <v>1</v>
      </c>
      <c r="C23" s="31" t="s">
        <v>139</v>
      </c>
      <c r="D23" s="31" t="s">
        <v>36</v>
      </c>
      <c r="E23" s="31" t="s">
        <v>140</v>
      </c>
      <c r="F23" s="31" t="s">
        <v>141</v>
      </c>
      <c r="G23" s="31" t="s">
        <v>34</v>
      </c>
      <c r="H23" s="31" t="s">
        <v>3</v>
      </c>
      <c r="I23" s="31" t="s">
        <v>142</v>
      </c>
      <c r="J23" s="31" t="s">
        <v>18</v>
      </c>
      <c r="K23" s="31" t="s">
        <v>143</v>
      </c>
      <c r="L23" s="31" t="s">
        <v>25</v>
      </c>
      <c r="M23" s="31" t="s">
        <v>144</v>
      </c>
      <c r="N23" s="31" t="s">
        <v>35</v>
      </c>
      <c r="O23" s="31" t="s">
        <v>26</v>
      </c>
      <c r="P23" s="31" t="s">
        <v>1</v>
      </c>
      <c r="Q23" s="31" t="s">
        <v>20</v>
      </c>
      <c r="R23" s="31" t="s">
        <v>145</v>
      </c>
      <c r="S23" s="31" t="s">
        <v>27</v>
      </c>
      <c r="T23" s="31" t="s">
        <v>24</v>
      </c>
      <c r="U23" s="31" t="s">
        <v>10</v>
      </c>
      <c r="V23" s="31" t="s">
        <v>4</v>
      </c>
      <c r="W23" s="31" t="s">
        <v>9</v>
      </c>
      <c r="X23" s="31" t="s">
        <v>13</v>
      </c>
      <c r="Y23" s="31" t="s">
        <v>16</v>
      </c>
      <c r="Z23" s="31" t="s">
        <v>146</v>
      </c>
      <c r="AA23" s="31" t="s">
        <v>15</v>
      </c>
      <c r="AB23" s="31" t="s">
        <v>14</v>
      </c>
      <c r="AC23" s="31" t="s">
        <v>11</v>
      </c>
      <c r="AD23" s="31" t="s">
        <v>12</v>
      </c>
      <c r="AE23" s="31" t="s">
        <v>28</v>
      </c>
      <c r="AF23" s="31" t="s">
        <v>147</v>
      </c>
      <c r="AG23" s="31" t="s">
        <v>148</v>
      </c>
      <c r="AH23" s="31" t="s">
        <v>17</v>
      </c>
      <c r="AI23" s="31" t="s">
        <v>29</v>
      </c>
      <c r="AJ23" s="31" t="s">
        <v>30</v>
      </c>
      <c r="AK23" s="31" t="s">
        <v>31</v>
      </c>
      <c r="AL23" s="31" t="s">
        <v>32</v>
      </c>
      <c r="AM23" s="31" t="s">
        <v>2</v>
      </c>
      <c r="AN23" s="31" t="s">
        <v>149</v>
      </c>
      <c r="AO23" s="31" t="s">
        <v>150</v>
      </c>
      <c r="AP23" s="31" t="s">
        <v>151</v>
      </c>
      <c r="AQ23" s="31" t="s">
        <v>37</v>
      </c>
      <c r="AR23" s="31" t="s">
        <v>48</v>
      </c>
      <c r="AS23" s="31" t="s">
        <v>152</v>
      </c>
      <c r="AT23" s="31" t="s">
        <v>153</v>
      </c>
      <c r="AU23" s="32" t="s">
        <v>155</v>
      </c>
      <c r="AV23" s="32" t="s">
        <v>156</v>
      </c>
      <c r="AW23" s="32" t="s">
        <v>154</v>
      </c>
      <c r="AX23" s="31" t="s">
        <v>157</v>
      </c>
      <c r="AY23" s="31" t="s">
        <v>44</v>
      </c>
      <c r="AZ23" s="31" t="s">
        <v>45</v>
      </c>
      <c r="BA23" s="31" t="s">
        <v>158</v>
      </c>
      <c r="BB23" s="31" t="s">
        <v>159</v>
      </c>
      <c r="BC23" s="31" t="s">
        <v>160</v>
      </c>
      <c r="BD23" s="32" t="s">
        <v>161</v>
      </c>
      <c r="BE23" s="32" t="s">
        <v>162</v>
      </c>
      <c r="BF23" s="32" t="s">
        <v>48</v>
      </c>
      <c r="BG23" s="32" t="s">
        <v>49</v>
      </c>
      <c r="BH23" s="32" t="s">
        <v>50</v>
      </c>
    </row>
    <row r="25" spans="1:61" x14ac:dyDescent="0.25">
      <c r="A25" t="b">
        <f>+A23=A12</f>
        <v>1</v>
      </c>
      <c r="B25" t="b">
        <f t="shared" ref="B25:BH25" si="0">+B23=B12</f>
        <v>1</v>
      </c>
      <c r="C25" t="b">
        <f t="shared" si="0"/>
        <v>1</v>
      </c>
      <c r="D25" t="b">
        <f t="shared" si="0"/>
        <v>1</v>
      </c>
      <c r="E25" t="b">
        <f t="shared" si="0"/>
        <v>1</v>
      </c>
      <c r="F25" t="b">
        <f t="shared" si="0"/>
        <v>1</v>
      </c>
      <c r="G25" t="b">
        <f t="shared" si="0"/>
        <v>1</v>
      </c>
      <c r="H25" t="b">
        <f t="shared" si="0"/>
        <v>1</v>
      </c>
      <c r="I25" t="b">
        <f t="shared" si="0"/>
        <v>1</v>
      </c>
      <c r="J25" t="b">
        <f t="shared" si="0"/>
        <v>1</v>
      </c>
      <c r="K25" t="b">
        <f t="shared" si="0"/>
        <v>1</v>
      </c>
      <c r="L25" t="b">
        <f t="shared" si="0"/>
        <v>1</v>
      </c>
      <c r="M25" t="b">
        <f t="shared" si="0"/>
        <v>1</v>
      </c>
      <c r="N25" t="b">
        <f t="shared" si="0"/>
        <v>1</v>
      </c>
      <c r="O25" t="b">
        <f t="shared" si="0"/>
        <v>1</v>
      </c>
      <c r="P25" t="b">
        <f t="shared" si="0"/>
        <v>1</v>
      </c>
      <c r="Q25" t="b">
        <f t="shared" si="0"/>
        <v>0</v>
      </c>
      <c r="R25" t="b">
        <f t="shared" si="0"/>
        <v>0</v>
      </c>
      <c r="S25" t="b">
        <f t="shared" si="0"/>
        <v>1</v>
      </c>
      <c r="T25" t="b">
        <f t="shared" si="0"/>
        <v>1</v>
      </c>
      <c r="U25" t="b">
        <f t="shared" si="0"/>
        <v>1</v>
      </c>
      <c r="V25" t="b">
        <f t="shared" si="0"/>
        <v>1</v>
      </c>
      <c r="W25" t="b">
        <f t="shared" si="0"/>
        <v>1</v>
      </c>
      <c r="X25" t="b">
        <f t="shared" si="0"/>
        <v>1</v>
      </c>
      <c r="Y25" t="b">
        <f t="shared" si="0"/>
        <v>1</v>
      </c>
      <c r="Z25" t="b">
        <f t="shared" si="0"/>
        <v>1</v>
      </c>
      <c r="AA25" t="b">
        <f t="shared" si="0"/>
        <v>1</v>
      </c>
      <c r="AB25" t="b">
        <f t="shared" si="0"/>
        <v>1</v>
      </c>
      <c r="AC25" t="b">
        <f t="shared" si="0"/>
        <v>1</v>
      </c>
      <c r="AD25" t="b">
        <f t="shared" si="0"/>
        <v>1</v>
      </c>
      <c r="AE25" t="b">
        <f t="shared" si="0"/>
        <v>1</v>
      </c>
      <c r="AF25" t="b">
        <f t="shared" si="0"/>
        <v>1</v>
      </c>
      <c r="AG25" t="b">
        <f t="shared" si="0"/>
        <v>1</v>
      </c>
      <c r="AH25" t="b">
        <f t="shared" si="0"/>
        <v>1</v>
      </c>
      <c r="AI25" t="b">
        <f t="shared" si="0"/>
        <v>1</v>
      </c>
      <c r="AJ25" t="b">
        <f t="shared" si="0"/>
        <v>1</v>
      </c>
      <c r="AK25" t="b">
        <f t="shared" si="0"/>
        <v>1</v>
      </c>
      <c r="AL25" t="b">
        <f t="shared" si="0"/>
        <v>1</v>
      </c>
      <c r="AM25" t="b">
        <f t="shared" si="0"/>
        <v>1</v>
      </c>
      <c r="AN25" t="b">
        <f t="shared" si="0"/>
        <v>1</v>
      </c>
      <c r="AO25" t="b">
        <f t="shared" si="0"/>
        <v>1</v>
      </c>
      <c r="AP25" t="b">
        <f t="shared" si="0"/>
        <v>1</v>
      </c>
      <c r="AQ25" t="b">
        <f t="shared" si="0"/>
        <v>1</v>
      </c>
      <c r="AR25" t="b">
        <f t="shared" si="0"/>
        <v>1</v>
      </c>
      <c r="AS25" t="b">
        <f t="shared" si="0"/>
        <v>1</v>
      </c>
      <c r="AT25" t="b">
        <f t="shared" si="0"/>
        <v>1</v>
      </c>
      <c r="AU25" t="b">
        <f t="shared" si="0"/>
        <v>0</v>
      </c>
      <c r="AV25" t="b">
        <f t="shared" si="0"/>
        <v>0</v>
      </c>
      <c r="AW25" t="b">
        <f t="shared" si="0"/>
        <v>0</v>
      </c>
      <c r="AX25" t="b">
        <f t="shared" si="0"/>
        <v>1</v>
      </c>
      <c r="AY25" t="b">
        <f t="shared" si="0"/>
        <v>1</v>
      </c>
      <c r="AZ25" t="b">
        <f t="shared" si="0"/>
        <v>1</v>
      </c>
      <c r="BA25" t="b">
        <f t="shared" si="0"/>
        <v>1</v>
      </c>
      <c r="BB25" t="b">
        <f t="shared" si="0"/>
        <v>1</v>
      </c>
      <c r="BC25" t="b">
        <f t="shared" si="0"/>
        <v>1</v>
      </c>
      <c r="BD25" t="b">
        <f t="shared" si="0"/>
        <v>0</v>
      </c>
      <c r="BE25" t="b">
        <f t="shared" si="0"/>
        <v>0</v>
      </c>
      <c r="BF25" t="b">
        <f t="shared" si="0"/>
        <v>0</v>
      </c>
      <c r="BG25" t="b">
        <f t="shared" si="0"/>
        <v>0</v>
      </c>
      <c r="BH25" t="b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5638-AB52-45A1-9D8F-87D8452FEE2A}">
  <dimension ref="A1:G54"/>
  <sheetViews>
    <sheetView tabSelected="1" topLeftCell="A31" workbookViewId="0">
      <selection activeCell="E45" sqref="E45"/>
    </sheetView>
  </sheetViews>
  <sheetFormatPr defaultColWidth="21.42578125" defaultRowHeight="19.5" customHeight="1" x14ac:dyDescent="0.25"/>
  <cols>
    <col min="1" max="1" width="35.7109375" style="19" customWidth="1"/>
    <col min="2" max="2" width="21.42578125" style="19"/>
    <col min="3" max="3" width="49.5703125" style="19" customWidth="1"/>
    <col min="4" max="16384" width="21.42578125" style="19"/>
  </cols>
  <sheetData>
    <row r="1" spans="1:7" ht="19.5" customHeight="1" x14ac:dyDescent="0.25">
      <c r="A1" s="19" t="s">
        <v>251</v>
      </c>
      <c r="G1" s="19" t="s">
        <v>252</v>
      </c>
    </row>
    <row r="2" spans="1:7" ht="19.5" customHeight="1" x14ac:dyDescent="0.25">
      <c r="A2" s="20" t="s">
        <v>0</v>
      </c>
      <c r="B2" s="21">
        <v>1</v>
      </c>
      <c r="C2" s="18" t="s">
        <v>138</v>
      </c>
    </row>
    <row r="3" spans="1:7" ht="19.5" customHeight="1" x14ac:dyDescent="0.25">
      <c r="A3" s="22" t="s">
        <v>1</v>
      </c>
      <c r="B3" s="21">
        <v>2</v>
      </c>
      <c r="C3" s="18" t="s">
        <v>253</v>
      </c>
      <c r="F3" s="21">
        <v>6</v>
      </c>
      <c r="G3" s="18" t="s">
        <v>141</v>
      </c>
    </row>
    <row r="4" spans="1:7" ht="19.5" customHeight="1" x14ac:dyDescent="0.25">
      <c r="A4" s="23" t="s">
        <v>2</v>
      </c>
      <c r="B4" s="21">
        <v>39</v>
      </c>
      <c r="C4" s="18" t="s">
        <v>2</v>
      </c>
      <c r="F4" s="21">
        <v>13</v>
      </c>
      <c r="G4" s="18" t="s">
        <v>144</v>
      </c>
    </row>
    <row r="5" spans="1:7" ht="19.5" customHeight="1" x14ac:dyDescent="0.25">
      <c r="A5" s="23" t="s">
        <v>3</v>
      </c>
      <c r="B5" s="21">
        <v>8</v>
      </c>
      <c r="C5" s="18" t="s">
        <v>3</v>
      </c>
      <c r="F5" s="21">
        <v>14</v>
      </c>
      <c r="G5" s="18" t="s">
        <v>35</v>
      </c>
    </row>
    <row r="6" spans="1:7" ht="19.5" customHeight="1" x14ac:dyDescent="0.25">
      <c r="A6" s="23" t="s">
        <v>4</v>
      </c>
      <c r="B6" s="21">
        <v>22</v>
      </c>
      <c r="C6" s="18" t="s">
        <v>4</v>
      </c>
      <c r="F6" s="21">
        <v>16</v>
      </c>
      <c r="G6" s="18" t="s">
        <v>1</v>
      </c>
    </row>
    <row r="7" spans="1:7" ht="19.5" customHeight="1" x14ac:dyDescent="0.25">
      <c r="A7" s="23" t="s">
        <v>5</v>
      </c>
      <c r="B7" s="21">
        <v>26</v>
      </c>
      <c r="C7" s="18" t="s">
        <v>146</v>
      </c>
      <c r="F7" s="21">
        <v>41</v>
      </c>
      <c r="G7" s="18" t="s">
        <v>150</v>
      </c>
    </row>
    <row r="8" spans="1:7" ht="19.5" customHeight="1" x14ac:dyDescent="0.25">
      <c r="A8" s="23" t="s">
        <v>6</v>
      </c>
      <c r="B8" s="21">
        <v>26</v>
      </c>
      <c r="C8" s="18" t="s">
        <v>146</v>
      </c>
      <c r="F8" s="21">
        <v>42</v>
      </c>
      <c r="G8" s="18" t="s">
        <v>151</v>
      </c>
    </row>
    <row r="9" spans="1:7" ht="19.5" customHeight="1" x14ac:dyDescent="0.25">
      <c r="A9" s="23" t="s">
        <v>7</v>
      </c>
      <c r="B9" s="21">
        <v>32</v>
      </c>
      <c r="C9" s="18" t="s">
        <v>147</v>
      </c>
      <c r="F9" s="21">
        <v>44</v>
      </c>
      <c r="G9" s="18" t="s">
        <v>48</v>
      </c>
    </row>
    <row r="10" spans="1:7" ht="19.5" customHeight="1" x14ac:dyDescent="0.25">
      <c r="A10" s="23" t="s">
        <v>8</v>
      </c>
      <c r="B10" s="21">
        <v>33</v>
      </c>
      <c r="C10" s="18" t="s">
        <v>148</v>
      </c>
      <c r="F10" s="21">
        <v>47</v>
      </c>
      <c r="G10" s="18" t="s">
        <v>154</v>
      </c>
    </row>
    <row r="11" spans="1:7" ht="19.5" customHeight="1" x14ac:dyDescent="0.25">
      <c r="A11" s="23" t="s">
        <v>9</v>
      </c>
      <c r="B11" s="21">
        <v>23</v>
      </c>
      <c r="C11" s="18" t="s">
        <v>254</v>
      </c>
      <c r="F11" s="21">
        <v>55</v>
      </c>
      <c r="G11" s="18" t="s">
        <v>160</v>
      </c>
    </row>
    <row r="12" spans="1:7" ht="19.5" customHeight="1" x14ac:dyDescent="0.25">
      <c r="A12" s="23" t="s">
        <v>10</v>
      </c>
      <c r="B12" s="21">
        <v>21</v>
      </c>
      <c r="C12" s="18" t="s">
        <v>10</v>
      </c>
      <c r="F12" s="21">
        <v>58</v>
      </c>
      <c r="G12" s="18" t="s">
        <v>162</v>
      </c>
    </row>
    <row r="13" spans="1:7" ht="19.5" customHeight="1" x14ac:dyDescent="0.25">
      <c r="A13" s="23" t="s">
        <v>11</v>
      </c>
      <c r="B13" s="21">
        <v>29</v>
      </c>
      <c r="C13" s="18" t="s">
        <v>11</v>
      </c>
      <c r="F13" s="21">
        <v>59</v>
      </c>
      <c r="G13" s="18" t="s">
        <v>48</v>
      </c>
    </row>
    <row r="14" spans="1:7" ht="19.5" customHeight="1" x14ac:dyDescent="0.25">
      <c r="A14" s="23" t="s">
        <v>12</v>
      </c>
      <c r="B14" s="21">
        <v>30</v>
      </c>
      <c r="C14" s="18" t="s">
        <v>12</v>
      </c>
    </row>
    <row r="15" spans="1:7" ht="19.5" customHeight="1" x14ac:dyDescent="0.25">
      <c r="A15" s="23" t="s">
        <v>13</v>
      </c>
      <c r="B15" s="21">
        <v>24</v>
      </c>
      <c r="C15" s="18" t="s">
        <v>13</v>
      </c>
    </row>
    <row r="16" spans="1:7" ht="19.5" customHeight="1" x14ac:dyDescent="0.25">
      <c r="A16" s="23" t="s">
        <v>14</v>
      </c>
      <c r="B16" s="21">
        <v>28</v>
      </c>
      <c r="C16" s="18" t="s">
        <v>14</v>
      </c>
    </row>
    <row r="17" spans="1:3" ht="19.5" customHeight="1" x14ac:dyDescent="0.25">
      <c r="A17" s="23" t="s">
        <v>15</v>
      </c>
      <c r="B17" s="21">
        <v>27</v>
      </c>
      <c r="C17" s="18" t="s">
        <v>15</v>
      </c>
    </row>
    <row r="18" spans="1:3" ht="19.5" customHeight="1" x14ac:dyDescent="0.25">
      <c r="A18" s="23" t="s">
        <v>16</v>
      </c>
      <c r="B18" s="21">
        <v>25</v>
      </c>
      <c r="C18" s="18" t="s">
        <v>16</v>
      </c>
    </row>
    <row r="19" spans="1:3" ht="19.5" customHeight="1" x14ac:dyDescent="0.25">
      <c r="A19" s="24" t="s">
        <v>17</v>
      </c>
      <c r="B19" s="21">
        <v>34</v>
      </c>
      <c r="C19" s="18" t="s">
        <v>17</v>
      </c>
    </row>
    <row r="20" spans="1:3" ht="19.5" customHeight="1" x14ac:dyDescent="0.25">
      <c r="A20" s="20" t="s">
        <v>18</v>
      </c>
      <c r="B20" s="21">
        <v>10</v>
      </c>
      <c r="C20" s="18" t="s">
        <v>18</v>
      </c>
    </row>
    <row r="21" spans="1:3" ht="19.5" customHeight="1" x14ac:dyDescent="0.25">
      <c r="A21" s="20" t="s">
        <v>19</v>
      </c>
      <c r="B21" s="21">
        <v>11</v>
      </c>
      <c r="C21" s="18" t="s">
        <v>143</v>
      </c>
    </row>
    <row r="22" spans="1:3" ht="19.5" customHeight="1" x14ac:dyDescent="0.25">
      <c r="A22" s="23" t="s">
        <v>20</v>
      </c>
      <c r="B22" s="21">
        <v>17</v>
      </c>
      <c r="C22" s="18" t="s">
        <v>20</v>
      </c>
    </row>
    <row r="23" spans="1:3" ht="19.5" customHeight="1" x14ac:dyDescent="0.25">
      <c r="A23" s="24" t="s">
        <v>21</v>
      </c>
      <c r="B23" s="21">
        <v>18</v>
      </c>
      <c r="C23" s="18" t="s">
        <v>145</v>
      </c>
    </row>
    <row r="24" spans="1:3" ht="19.5" customHeight="1" x14ac:dyDescent="0.25">
      <c r="A24" s="23" t="s">
        <v>22</v>
      </c>
      <c r="B24" s="21">
        <v>5</v>
      </c>
      <c r="C24" s="18" t="s">
        <v>140</v>
      </c>
    </row>
    <row r="25" spans="1:3" ht="19.5" customHeight="1" x14ac:dyDescent="0.25">
      <c r="A25" s="20" t="s">
        <v>23</v>
      </c>
      <c r="B25" s="21">
        <v>40</v>
      </c>
      <c r="C25" s="18" t="s">
        <v>149</v>
      </c>
    </row>
    <row r="26" spans="1:3" ht="19.5" customHeight="1" thickBot="1" x14ac:dyDescent="0.3">
      <c r="A26" s="25" t="s">
        <v>24</v>
      </c>
      <c r="B26" s="21">
        <v>20</v>
      </c>
      <c r="C26" s="18" t="s">
        <v>24</v>
      </c>
    </row>
    <row r="27" spans="1:3" ht="19.5" customHeight="1" x14ac:dyDescent="0.25">
      <c r="A27" s="23" t="s">
        <v>25</v>
      </c>
      <c r="B27" s="21">
        <v>12</v>
      </c>
      <c r="C27" s="18" t="s">
        <v>25</v>
      </c>
    </row>
    <row r="28" spans="1:3" ht="19.5" customHeight="1" x14ac:dyDescent="0.25">
      <c r="A28" s="23" t="s">
        <v>26</v>
      </c>
      <c r="B28" s="21">
        <v>15</v>
      </c>
      <c r="C28" s="18" t="s">
        <v>26</v>
      </c>
    </row>
    <row r="29" spans="1:3" ht="19.5" customHeight="1" x14ac:dyDescent="0.25">
      <c r="A29" s="23" t="s">
        <v>27</v>
      </c>
      <c r="B29" s="21">
        <v>3</v>
      </c>
      <c r="C29" s="18" t="s">
        <v>255</v>
      </c>
    </row>
    <row r="30" spans="1:3" ht="19.5" customHeight="1" x14ac:dyDescent="0.25">
      <c r="A30" s="23" t="s">
        <v>28</v>
      </c>
      <c r="B30" s="21">
        <v>31</v>
      </c>
      <c r="C30" s="18" t="s">
        <v>28</v>
      </c>
    </row>
    <row r="31" spans="1:3" ht="19.5" customHeight="1" x14ac:dyDescent="0.25">
      <c r="A31" s="23" t="s">
        <v>29</v>
      </c>
      <c r="B31" s="21">
        <v>35</v>
      </c>
      <c r="C31" s="18" t="s">
        <v>29</v>
      </c>
    </row>
    <row r="32" spans="1:3" ht="19.5" customHeight="1" x14ac:dyDescent="0.25">
      <c r="A32" s="23" t="s">
        <v>30</v>
      </c>
      <c r="B32" s="21">
        <v>36</v>
      </c>
      <c r="C32" s="18" t="s">
        <v>30</v>
      </c>
    </row>
    <row r="33" spans="1:3" ht="19.5" customHeight="1" x14ac:dyDescent="0.25">
      <c r="A33" s="23" t="s">
        <v>31</v>
      </c>
      <c r="B33" s="21">
        <v>37</v>
      </c>
      <c r="C33" s="18" t="s">
        <v>31</v>
      </c>
    </row>
    <row r="34" spans="1:3" ht="19.5" customHeight="1" x14ac:dyDescent="0.25">
      <c r="A34" s="23" t="s">
        <v>32</v>
      </c>
      <c r="B34" s="21">
        <v>38</v>
      </c>
      <c r="C34" s="18" t="s">
        <v>32</v>
      </c>
    </row>
    <row r="35" spans="1:3" ht="19.5" customHeight="1" x14ac:dyDescent="0.25">
      <c r="A35" s="20" t="s">
        <v>33</v>
      </c>
      <c r="B35" s="21">
        <v>9</v>
      </c>
      <c r="C35" s="18" t="s">
        <v>142</v>
      </c>
    </row>
    <row r="36" spans="1:3" ht="19.5" customHeight="1" thickBot="1" x14ac:dyDescent="0.3">
      <c r="A36" s="25" t="s">
        <v>34</v>
      </c>
      <c r="B36" s="21">
        <v>7</v>
      </c>
      <c r="C36" s="18" t="s">
        <v>34</v>
      </c>
    </row>
    <row r="37" spans="1:3" ht="19.5" customHeight="1" x14ac:dyDescent="0.25">
      <c r="A37" s="26" t="s">
        <v>35</v>
      </c>
      <c r="B37" s="21">
        <v>14</v>
      </c>
      <c r="C37" s="18" t="s">
        <v>35</v>
      </c>
    </row>
    <row r="38" spans="1:3" ht="19.5" customHeight="1" x14ac:dyDescent="0.25">
      <c r="A38" s="23" t="s">
        <v>36</v>
      </c>
      <c r="B38" s="21">
        <v>4</v>
      </c>
      <c r="C38" s="18" t="s">
        <v>36</v>
      </c>
    </row>
    <row r="39" spans="1:3" ht="19.5" customHeight="1" x14ac:dyDescent="0.25">
      <c r="A39" s="23" t="s">
        <v>37</v>
      </c>
      <c r="B39" s="21">
        <v>43</v>
      </c>
      <c r="C39" s="18" t="s">
        <v>37</v>
      </c>
    </row>
    <row r="40" spans="1:3" ht="19.5" customHeight="1" x14ac:dyDescent="0.25">
      <c r="A40" s="23" t="s">
        <v>38</v>
      </c>
      <c r="B40" s="21">
        <v>57</v>
      </c>
      <c r="C40" s="18" t="s">
        <v>161</v>
      </c>
    </row>
    <row r="41" spans="1:3" ht="19.5" customHeight="1" x14ac:dyDescent="0.25">
      <c r="A41" s="23" t="s">
        <v>39</v>
      </c>
      <c r="B41" s="21">
        <v>45</v>
      </c>
      <c r="C41" s="18" t="s">
        <v>152</v>
      </c>
    </row>
    <row r="42" spans="1:3" ht="19.5" customHeight="1" x14ac:dyDescent="0.25">
      <c r="A42" s="23" t="s">
        <v>40</v>
      </c>
      <c r="B42" s="21">
        <v>46</v>
      </c>
      <c r="C42" s="18" t="s">
        <v>153</v>
      </c>
    </row>
    <row r="43" spans="1:3" ht="19.5" customHeight="1" x14ac:dyDescent="0.25">
      <c r="A43" s="23" t="s">
        <v>41</v>
      </c>
      <c r="B43" s="21">
        <v>48</v>
      </c>
      <c r="C43" s="18" t="s">
        <v>155</v>
      </c>
    </row>
    <row r="44" spans="1:3" ht="19.5" customHeight="1" x14ac:dyDescent="0.25">
      <c r="A44" s="23" t="s">
        <v>42</v>
      </c>
      <c r="B44" s="21">
        <v>49</v>
      </c>
      <c r="C44" s="18" t="s">
        <v>156</v>
      </c>
    </row>
    <row r="45" spans="1:3" ht="19.5" customHeight="1" x14ac:dyDescent="0.25">
      <c r="A45" s="23" t="s">
        <v>43</v>
      </c>
      <c r="B45" s="21">
        <v>50</v>
      </c>
      <c r="C45" s="18" t="s">
        <v>157</v>
      </c>
    </row>
    <row r="46" spans="1:3" ht="19.5" customHeight="1" x14ac:dyDescent="0.25">
      <c r="A46" s="23" t="s">
        <v>44</v>
      </c>
      <c r="B46" s="21">
        <v>51</v>
      </c>
      <c r="C46" s="18" t="s">
        <v>44</v>
      </c>
    </row>
    <row r="47" spans="1:3" ht="19.5" customHeight="1" x14ac:dyDescent="0.25">
      <c r="A47" s="23" t="s">
        <v>45</v>
      </c>
      <c r="B47" s="21">
        <v>52</v>
      </c>
      <c r="C47" s="18" t="s">
        <v>45</v>
      </c>
    </row>
    <row r="48" spans="1:3" ht="19.5" customHeight="1" x14ac:dyDescent="0.25">
      <c r="A48" s="23" t="s">
        <v>46</v>
      </c>
      <c r="B48" s="21">
        <v>53</v>
      </c>
      <c r="C48" s="18" t="s">
        <v>158</v>
      </c>
    </row>
    <row r="49" spans="1:3" ht="19.5" customHeight="1" x14ac:dyDescent="0.25">
      <c r="A49" s="23" t="s">
        <v>47</v>
      </c>
      <c r="B49" s="21">
        <v>54</v>
      </c>
      <c r="C49" s="18" t="s">
        <v>159</v>
      </c>
    </row>
    <row r="50" spans="1:3" ht="19.5" customHeight="1" x14ac:dyDescent="0.25">
      <c r="A50" s="23" t="s">
        <v>48</v>
      </c>
      <c r="B50" s="21">
        <v>56</v>
      </c>
      <c r="C50" s="18" t="s">
        <v>256</v>
      </c>
    </row>
    <row r="51" spans="1:3" ht="19.5" customHeight="1" x14ac:dyDescent="0.25">
      <c r="A51" s="23" t="s">
        <v>49</v>
      </c>
      <c r="B51" s="21">
        <v>60</v>
      </c>
      <c r="C51" s="18" t="s">
        <v>49</v>
      </c>
    </row>
    <row r="52" spans="1:3" ht="19.5" customHeight="1" x14ac:dyDescent="0.25">
      <c r="A52" s="27" t="s">
        <v>50</v>
      </c>
      <c r="B52" s="21">
        <v>61</v>
      </c>
      <c r="C52" s="18" t="s">
        <v>50</v>
      </c>
    </row>
    <row r="53" spans="1:3" ht="19.5" customHeight="1" x14ac:dyDescent="0.25">
      <c r="A53" s="20" t="s">
        <v>51</v>
      </c>
      <c r="B53" s="29"/>
      <c r="C53" s="29"/>
    </row>
    <row r="54" spans="1:3" ht="19.5" customHeight="1" x14ac:dyDescent="0.25">
      <c r="A54" s="20" t="s">
        <v>52</v>
      </c>
      <c r="B54" s="29"/>
      <c r="C54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Columnas Reporte</vt:lpstr>
      <vt:lpstr>Odoo Report</vt:lpstr>
      <vt:lpstr>Match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Gonzalo Quezada</cp:lastModifiedBy>
  <cp:revision/>
  <dcterms:created xsi:type="dcterms:W3CDTF">2026-04-07T18:04:21Z</dcterms:created>
  <dcterms:modified xsi:type="dcterms:W3CDTF">2026-04-20T14:22:23Z</dcterms:modified>
  <cp:category/>
  <cp:contentStatus/>
</cp:coreProperties>
</file>