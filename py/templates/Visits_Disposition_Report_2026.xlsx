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pps\env\icc-amex\template\"/>
    </mc:Choice>
  </mc:AlternateContent>
  <xr:revisionPtr revIDLastSave="0" documentId="13_ncr:1_{59440DC7-715D-43A1-B987-3292C6EA617C}" xr6:coauthVersionLast="47" xr6:coauthVersionMax="47" xr10:uidLastSave="{00000000-0000-0000-0000-000000000000}"/>
  <bookViews>
    <workbookView xWindow="20370" yWindow="-120" windowWidth="29040" windowHeight="15720" activeTab="3" xr2:uid="{7CADF594-A515-4C92-8779-C6022A1B1AFB}"/>
  </bookViews>
  <sheets>
    <sheet name="Template" sheetId="1" r:id="rId1"/>
    <sheet name="Columnas Reporte" sheetId="2" r:id="rId2"/>
    <sheet name="Odoo Report" sheetId="3" r:id="rId3"/>
    <sheet name="Match" sheetId="5" r:id="rId4"/>
    <sheet name="Sheet1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6" l="1"/>
  <c r="O5" i="6"/>
  <c r="N6" i="6"/>
  <c r="O6" i="6"/>
  <c r="N7" i="6"/>
  <c r="O7" i="6"/>
  <c r="N8" i="6"/>
  <c r="O8" i="6"/>
  <c r="N9" i="6"/>
  <c r="O9" i="6"/>
  <c r="N10" i="6"/>
  <c r="O10" i="6"/>
  <c r="N11" i="6"/>
  <c r="O11" i="6"/>
  <c r="N12" i="6"/>
  <c r="O12" i="6"/>
  <c r="N13" i="6"/>
  <c r="O13" i="6"/>
  <c r="N14" i="6"/>
  <c r="O14" i="6"/>
  <c r="N15" i="6"/>
  <c r="O15" i="6"/>
  <c r="N16" i="6"/>
  <c r="O16" i="6"/>
  <c r="N17" i="6"/>
  <c r="O17" i="6"/>
  <c r="N18" i="6"/>
  <c r="O18" i="6"/>
  <c r="N19" i="6"/>
  <c r="O19" i="6"/>
  <c r="N20" i="6"/>
  <c r="O20" i="6"/>
  <c r="N21" i="6"/>
  <c r="O21" i="6"/>
  <c r="N22" i="6"/>
  <c r="O22" i="6"/>
  <c r="N23" i="6"/>
  <c r="O23" i="6"/>
  <c r="N24" i="6"/>
  <c r="O24" i="6"/>
  <c r="N25" i="6"/>
  <c r="O25" i="6"/>
  <c r="N26" i="6"/>
  <c r="O26" i="6"/>
  <c r="N27" i="6"/>
  <c r="O27" i="6"/>
  <c r="N28" i="6"/>
  <c r="O28" i="6"/>
  <c r="N29" i="6"/>
  <c r="O29" i="6"/>
  <c r="N30" i="6"/>
  <c r="O30" i="6"/>
  <c r="N31" i="6"/>
  <c r="O31" i="6"/>
  <c r="N32" i="6"/>
  <c r="O32" i="6"/>
  <c r="N33" i="6"/>
  <c r="O33" i="6"/>
  <c r="N34" i="6"/>
  <c r="O34" i="6"/>
  <c r="N35" i="6"/>
  <c r="O35" i="6"/>
  <c r="N36" i="6"/>
  <c r="O36" i="6"/>
  <c r="N37" i="6"/>
  <c r="O37" i="6"/>
  <c r="N38" i="6"/>
  <c r="O38" i="6"/>
  <c r="N39" i="6"/>
  <c r="O39" i="6"/>
  <c r="N40" i="6"/>
  <c r="O40" i="6"/>
  <c r="N41" i="6"/>
  <c r="O41" i="6"/>
  <c r="N42" i="6"/>
  <c r="O42" i="6"/>
  <c r="N43" i="6"/>
  <c r="O43" i="6"/>
  <c r="N44" i="6"/>
  <c r="O44" i="6"/>
  <c r="N45" i="6"/>
  <c r="O45" i="6"/>
  <c r="N46" i="6"/>
  <c r="O46" i="6"/>
  <c r="N47" i="6"/>
  <c r="O47" i="6"/>
  <c r="N48" i="6"/>
  <c r="O48" i="6"/>
  <c r="N49" i="6"/>
  <c r="O49" i="6"/>
  <c r="N50" i="6"/>
  <c r="O50" i="6"/>
  <c r="N51" i="6"/>
  <c r="O51" i="6"/>
  <c r="N52" i="6"/>
  <c r="O52" i="6"/>
  <c r="N53" i="6"/>
  <c r="O53" i="6"/>
  <c r="N54" i="6"/>
  <c r="O54" i="6"/>
  <c r="N55" i="6"/>
  <c r="O55" i="6"/>
  <c r="N56" i="6"/>
  <c r="O56" i="6"/>
  <c r="N57" i="6"/>
  <c r="O57" i="6"/>
  <c r="N58" i="6"/>
  <c r="O58" i="6"/>
  <c r="N59" i="6"/>
  <c r="O59" i="6"/>
  <c r="N60" i="6"/>
  <c r="O60" i="6"/>
  <c r="N61" i="6"/>
  <c r="O61" i="6"/>
  <c r="N62" i="6"/>
  <c r="O62" i="6"/>
  <c r="N63" i="6"/>
  <c r="O63" i="6"/>
  <c r="N64" i="6"/>
  <c r="O64" i="6"/>
  <c r="N65" i="6"/>
  <c r="O65" i="6"/>
  <c r="N66" i="6"/>
  <c r="O66" i="6"/>
  <c r="N67" i="6"/>
  <c r="O67" i="6"/>
  <c r="N68" i="6"/>
  <c r="O68" i="6"/>
  <c r="N69" i="6"/>
  <c r="O69" i="6"/>
  <c r="N70" i="6"/>
  <c r="O70" i="6"/>
  <c r="N71" i="6"/>
  <c r="O71" i="6"/>
  <c r="N72" i="6"/>
  <c r="O72" i="6"/>
  <c r="N73" i="6"/>
  <c r="O73" i="6"/>
  <c r="N74" i="6"/>
  <c r="O74" i="6"/>
  <c r="N75" i="6"/>
  <c r="O75" i="6"/>
  <c r="N76" i="6"/>
  <c r="O76" i="6"/>
  <c r="N77" i="6"/>
  <c r="O77" i="6"/>
  <c r="N78" i="6"/>
  <c r="O78" i="6"/>
  <c r="N79" i="6"/>
  <c r="O79" i="6"/>
  <c r="N80" i="6"/>
  <c r="O80" i="6"/>
  <c r="N81" i="6"/>
  <c r="O81" i="6"/>
  <c r="N82" i="6"/>
  <c r="O82" i="6"/>
  <c r="N83" i="6"/>
  <c r="O83" i="6"/>
  <c r="N84" i="6"/>
  <c r="O84" i="6"/>
  <c r="N85" i="6"/>
  <c r="O85" i="6"/>
  <c r="N86" i="6"/>
  <c r="O86" i="6"/>
  <c r="N87" i="6"/>
  <c r="O87" i="6"/>
  <c r="N88" i="6"/>
  <c r="O88" i="6"/>
  <c r="N89" i="6"/>
  <c r="O89" i="6"/>
  <c r="N90" i="6"/>
  <c r="O90" i="6"/>
  <c r="N91" i="6"/>
  <c r="O91" i="6"/>
  <c r="N92" i="6"/>
  <c r="O92" i="6"/>
  <c r="O4" i="6"/>
  <c r="N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4" i="6"/>
  <c r="DC7" i="3"/>
  <c r="DB7" i="3"/>
  <c r="DA7" i="3"/>
  <c r="CZ7" i="3"/>
  <c r="CY7" i="3"/>
  <c r="CX7" i="3"/>
  <c r="CW7" i="3"/>
  <c r="CV7" i="3"/>
  <c r="CU7" i="3"/>
  <c r="CT7" i="3"/>
  <c r="CS7" i="3"/>
  <c r="CR7" i="3"/>
  <c r="CQ7" i="3"/>
  <c r="CP7" i="3"/>
  <c r="CO7" i="3"/>
  <c r="CN7" i="3"/>
  <c r="CM7" i="3"/>
  <c r="CL7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</calcChain>
</file>

<file path=xl/sharedStrings.xml><?xml version="1.0" encoding="utf-8"?>
<sst xmlns="http://schemas.openxmlformats.org/spreadsheetml/2006/main" count="2326" uniqueCount="532">
  <si>
    <t>MerchantName</t>
  </si>
  <si>
    <t>Sell_SE_No</t>
  </si>
  <si>
    <t>POPStopDateTime</t>
  </si>
  <si>
    <t>TypeofMerchant</t>
  </si>
  <si>
    <t>CurrentStateName</t>
  </si>
  <si>
    <t>PartnerName</t>
  </si>
  <si>
    <t>RecordDMA</t>
  </si>
  <si>
    <t>MerchantCity</t>
  </si>
  <si>
    <t>MerchantState</t>
  </si>
  <si>
    <t>MerchantZipCode</t>
  </si>
  <si>
    <t>MerchantLegalName</t>
  </si>
  <si>
    <t>MerchantInactive</t>
  </si>
  <si>
    <t>MerchantRelation</t>
  </si>
  <si>
    <t>MerchantSignUpDate</t>
  </si>
  <si>
    <t>MerchantPortfolio</t>
  </si>
  <si>
    <t>MerchantIndustryName</t>
  </si>
  <si>
    <t>SpecialtyLeadType</t>
  </si>
  <si>
    <t>ListName</t>
  </si>
  <si>
    <t>RecordOwner</t>
  </si>
  <si>
    <t>AgentName</t>
  </si>
  <si>
    <t>WhatExteriorPOPSeen(Organic)</t>
  </si>
  <si>
    <t>WasOrganicAmexPOPInGoodCondition</t>
  </si>
  <si>
    <t>WhatInteriorPOPSeen(Organic)</t>
  </si>
  <si>
    <t>WasContactlessPOPDisplayed</t>
  </si>
  <si>
    <t>DidYouObserveAnyExternalPaymentA</t>
  </si>
  <si>
    <t>WhatExternalPaymentAcceptanceInd</t>
  </si>
  <si>
    <t>DidYouSpeakWithADecisionMaker</t>
  </si>
  <si>
    <t>WasMerchantAwareOfAMEXAcceptance</t>
  </si>
  <si>
    <t>DidTheMerchantIndicateTheyWereAc</t>
  </si>
  <si>
    <t>DidYouObserveAnyPaymentAcceptanc</t>
  </si>
  <si>
    <t>PaymentAcceptanceIndicatorsSeen</t>
  </si>
  <si>
    <t>AcceptanceIndicatorOtherDetails</t>
  </si>
  <si>
    <t>MerchantGavePermissionToTestCont</t>
  </si>
  <si>
    <t>ResultOfContactlessTest</t>
  </si>
  <si>
    <t>ValueClaimsUsed</t>
  </si>
  <si>
    <t>GeneralNotesandObservations</t>
  </si>
  <si>
    <t>InteriorWherePOPWilLBeSeen</t>
  </si>
  <si>
    <t>DidYouPlaceInteriorPOP</t>
  </si>
  <si>
    <t>InteriorCommonPOPPlaced</t>
  </si>
  <si>
    <t>IntPlacedPOPIncludeContactless</t>
  </si>
  <si>
    <t>WhyNotInteriorPOPPlaced</t>
  </si>
  <si>
    <t>OtherMerchantIntPOPObjection</t>
  </si>
  <si>
    <t>ExteriorWherePOPWillBeSeen</t>
  </si>
  <si>
    <t>DidYouPlaceExteriorPOP</t>
  </si>
  <si>
    <t>ExteriorCommonPOPPlaced</t>
  </si>
  <si>
    <t>ExtPlacedPOPIncludeContactless</t>
  </si>
  <si>
    <t>WhyNotExteriorPOPPlaced</t>
  </si>
  <si>
    <t>OtherMerchantExtPOPObjection</t>
  </si>
  <si>
    <t>ContactlessPOPNonPlacementReason</t>
  </si>
  <si>
    <t>DidYouLeavePOPBehind</t>
  </si>
  <si>
    <t>WhatCommonPOPLeftBehind</t>
  </si>
  <si>
    <t>DidYouOrderTheMerchantPremiumPro</t>
  </si>
  <si>
    <t>DidYouLeaveCollateralMaterials</t>
  </si>
  <si>
    <t>DidYouLeaveBehindNonPlacementIte</t>
  </si>
  <si>
    <t>WhatNonPlacementItemsDidYouLeave</t>
  </si>
  <si>
    <t>AcceptanceMeter</t>
  </si>
  <si>
    <t>RateRelatedObjection</t>
  </si>
  <si>
    <t>RatePrefersCashDetails</t>
  </si>
  <si>
    <t>RatePrefersOtherBrandsDetails</t>
  </si>
  <si>
    <t>NonRateRelatedObjection</t>
  </si>
  <si>
    <t>GeneralDissatisfactionDetails</t>
  </si>
  <si>
    <t>ObjectionSummary</t>
  </si>
  <si>
    <t>AXPValuesSolutions</t>
  </si>
  <si>
    <t>MerchantNeedDiscussed</t>
  </si>
  <si>
    <t>MerchantNeedsOtherReason</t>
  </si>
  <si>
    <t>WillMerchantAcceptNextAmexCard</t>
  </si>
  <si>
    <t>IncentiveRAType</t>
  </si>
  <si>
    <t>IncentiveDidYouOffer</t>
  </si>
  <si>
    <t>IncentiveNotOfferedReason</t>
  </si>
  <si>
    <t>IncentiveNotOfferedOtherReason</t>
  </si>
  <si>
    <t>IncentiveMerchantSentimentToward</t>
  </si>
  <si>
    <t>IncentiveNotInterestedReason</t>
  </si>
  <si>
    <t>IncentiveNotInterestedOtherReason</t>
  </si>
  <si>
    <t>IncentiveDidMerchantVerballyAcce</t>
  </si>
  <si>
    <t>IncentiveMerchantCommitment</t>
  </si>
  <si>
    <t>IncentiveDNCMerAskToRemoveFromOffers</t>
  </si>
  <si>
    <t>POPStopNotPerformedReason</t>
  </si>
  <si>
    <t>UnabletoPerformPOPStopNotes</t>
  </si>
  <si>
    <t>AttemptedDateTime</t>
  </si>
  <si>
    <t>AreAddressDetailsCorrect</t>
  </si>
  <si>
    <t>UpdateMerchantStreetAddressLine1</t>
  </si>
  <si>
    <t>UpdateMerchantStreetAddressLine2</t>
  </si>
  <si>
    <t>UpdateCity</t>
  </si>
  <si>
    <t>UpdateMerchantZipCode</t>
  </si>
  <si>
    <t>UpdateMerchantEmail</t>
  </si>
  <si>
    <t>DoingBusinessAsName_If Different</t>
  </si>
  <si>
    <t>ClientSubmissionTime</t>
  </si>
  <si>
    <t>LastModifiedBy</t>
  </si>
  <si>
    <t>LastModifiedOn</t>
  </si>
  <si>
    <t>Entry_Status</t>
  </si>
  <si>
    <t>JAR TAX CORP</t>
  </si>
  <si>
    <t>Active</t>
  </si>
  <si>
    <t>FIRSTBANK / EVERTEC</t>
  </si>
  <si>
    <t>BAYAMON</t>
  </si>
  <si>
    <t>PR</t>
  </si>
  <si>
    <t>No</t>
  </si>
  <si>
    <t>Existing with a partner- new to Amex</t>
  </si>
  <si>
    <t>Optblue</t>
  </si>
  <si>
    <t>ACCOUNTING/AUDITING</t>
  </si>
  <si>
    <t>PR_102025ACT</t>
  </si>
  <si>
    <t>Belmarie Rosa</t>
  </si>
  <si>
    <t>AMEX and Competitor POP</t>
  </si>
  <si>
    <t>Yes</t>
  </si>
  <si>
    <t>P2P Signage (Venmo, Zelle,PayPal,ATH Movil etc.)</t>
  </si>
  <si>
    <t>No Value Claims Used</t>
  </si>
  <si>
    <t>PR Icon Decal</t>
  </si>
  <si>
    <t>Amex Blue Box Decal</t>
  </si>
  <si>
    <t>Card Holder</t>
  </si>
  <si>
    <t>Openly Accepts</t>
  </si>
  <si>
    <t>Advertising (attract new customers)</t>
  </si>
  <si>
    <t>BLACK MOON STUDIO</t>
  </si>
  <si>
    <t>Inactive</t>
  </si>
  <si>
    <t>DIRECT SALES CHANNEL</t>
  </si>
  <si>
    <t>PROFESSIONAL SERVICE</t>
  </si>
  <si>
    <t>PR_102025INACT</t>
  </si>
  <si>
    <t>No POP Observed</t>
  </si>
  <si>
    <t>Pens</t>
  </si>
  <si>
    <t>SSW ENGINEERING &amp; CONSTRU</t>
  </si>
  <si>
    <t>EVERTEC POPULAR MERCHANT</t>
  </si>
  <si>
    <t>SSW ENGINEERING &amp; CONSTRUCTION</t>
  </si>
  <si>
    <t>New to Amex- new to partner</t>
  </si>
  <si>
    <t>ARCHITECT &amp; ENGINEER</t>
  </si>
  <si>
    <t>Shop Small Tote Bag</t>
  </si>
  <si>
    <t>STRUCTURAL STEEL WORKS</t>
  </si>
  <si>
    <t>EVERTEC POPUALR MERCHANT</t>
  </si>
  <si>
    <t>1A1</t>
  </si>
  <si>
    <t>Existing with Amex- new to partner</t>
  </si>
  <si>
    <t>APS CLINICS OF PR-BAYAMON</t>
  </si>
  <si>
    <t>STATE GOVERNMENT</t>
  </si>
  <si>
    <t>Card Member Value Claims</t>
  </si>
  <si>
    <t>Merchant says they don't accept Amex</t>
  </si>
  <si>
    <t>Does Not Accept</t>
  </si>
  <si>
    <t>TRATTORIA IL BUONGUSTAIO</t>
  </si>
  <si>
    <t>GUAYNABO</t>
  </si>
  <si>
    <t>FULL SVC RESTAURANT</t>
  </si>
  <si>
    <t>PR_122025INACT</t>
  </si>
  <si>
    <t>BUFFALO WINGS ESMERALDA</t>
  </si>
  <si>
    <t>Evertec-Popular Merchant</t>
  </si>
  <si>
    <t>FAST FOOD RESTAURANT</t>
  </si>
  <si>
    <t>Competitor POP Only</t>
  </si>
  <si>
    <t>COMPETIDORS PIZZA GUAYNAB</t>
  </si>
  <si>
    <t>New Signing</t>
  </si>
  <si>
    <t>ACCEPTA LLC</t>
  </si>
  <si>
    <t>COMPETIDORS PIZZA GUAYNABO LLC</t>
  </si>
  <si>
    <t>PR_122025NS</t>
  </si>
  <si>
    <t>CLAVE SOL BAR AND RESTAUR</t>
  </si>
  <si>
    <t>CLAVE SOL BAR AND RESTAURANT</t>
  </si>
  <si>
    <t>BAR/NIGHTCLUB</t>
  </si>
  <si>
    <t>VisitsDispositionReport_Id</t>
  </si>
  <si>
    <t>Name</t>
  </si>
  <si>
    <t>Blitz Event</t>
  </si>
  <si>
    <t>Broad Industry</t>
  </si>
  <si>
    <t>Control Indicator</t>
  </si>
  <si>
    <t>Language Preference</t>
  </si>
  <si>
    <t>Lead List Name</t>
  </si>
  <si>
    <t>Locale</t>
  </si>
  <si>
    <t>MCC Code</t>
  </si>
  <si>
    <t>MCC Description</t>
  </si>
  <si>
    <t>Payee Merchant Number</t>
  </si>
  <si>
    <t>Program Segmentation</t>
  </si>
  <si>
    <t>R12 CV</t>
  </si>
  <si>
    <t>Relationship Group Type Description</t>
  </si>
  <si>
    <t>SE 10 Seller Number</t>
  </si>
  <si>
    <t>SEIMS Level 1 â€“ Industry Code</t>
  </si>
  <si>
    <t>SEIMS Level 1 â€“ Industry Description</t>
  </si>
  <si>
    <t>Sales Channel Name</t>
  </si>
  <si>
    <t>Seller Acceptance Status Description</t>
  </si>
  <si>
    <t>Seller Email Address Text</t>
  </si>
  <si>
    <t>Seller ID</t>
  </si>
  <si>
    <t>Seller ID Business Phone Number</t>
  </si>
  <si>
    <t>Seller ID City Name</t>
  </si>
  <si>
    <t>Seller ID Country Code</t>
  </si>
  <si>
    <t>Seller ID DBA Name</t>
  </si>
  <si>
    <t>Seller ID Postal Code</t>
  </si>
  <si>
    <t>Seller ID Region Area Code</t>
  </si>
  <si>
    <t>Seller ID Standard Address Line 1 Text</t>
  </si>
  <si>
    <t>Seller ID Standard Address Line 2 Text</t>
  </si>
  <si>
    <t>Seller Partner Code</t>
  </si>
  <si>
    <t>Significant Owner First Name</t>
  </si>
  <si>
    <t>Significant Owner Last Name</t>
  </si>
  <si>
    <t>Source Create Date</t>
  </si>
  <si>
    <t>Submitter ID</t>
  </si>
  <si>
    <t>Submitter Merchant Number</t>
  </si>
  <si>
    <t>TPA Merchant Name</t>
  </si>
  <si>
    <t>TPA Merchant Number</t>
  </si>
  <si>
    <t>Target Segmentation</t>
  </si>
  <si>
    <t>WA Industry</t>
  </si>
  <si>
    <t>Merchant Name</t>
  </si>
  <si>
    <t>Sell_â€‹SE_â€‹No</t>
  </si>
  <si>
    <t>Type of Merchant</t>
  </si>
  <si>
    <t>Current State Name</t>
  </si>
  <si>
    <t>Partner Name</t>
  </si>
  <si>
    <t>Record DMA</t>
  </si>
  <si>
    <t>Merchant City</t>
  </si>
  <si>
    <t>Merchant Zip Code</t>
  </si>
  <si>
    <t>Merchant Legal Name</t>
  </si>
  <si>
    <t>Merchant Inactive</t>
  </si>
  <si>
    <t>Type of Relationship with Processor/â€‹ Bank</t>
  </si>
  <si>
    <t>Merchant Portfolio</t>
  </si>
  <si>
    <t>Merchant Industry Name</t>
  </si>
  <si>
    <t>Specialty Lead Type</t>
  </si>
  <si>
    <t>Lead List</t>
  </si>
  <si>
    <t>Record Owner</t>
  </si>
  <si>
    <t>Agent Name</t>
  </si>
  <si>
    <t>What Exterior POP Seen(Organic)</t>
  </si>
  <si>
    <t>Was Organic Amex POP In Good Condition</t>
  </si>
  <si>
    <t>What Interior POP Seen(Organic)</t>
  </si>
  <si>
    <t>Was Contactless POP Displayed</t>
  </si>
  <si>
    <t>Did You Observe Any External Payment</t>
  </si>
  <si>
    <t>What External Payment Acceptance</t>
  </si>
  <si>
    <t>Did You Speak With a Decision Maker</t>
  </si>
  <si>
    <t>Was Merchant Aware of AMEX Acceptance</t>
  </si>
  <si>
    <t>Did The Merchant Indicate They Were Acept</t>
  </si>
  <si>
    <t>Did You Observe Any Payment Acceptantance POP</t>
  </si>
  <si>
    <t>Payment Acceptance Indicators Seen</t>
  </si>
  <si>
    <t>Acceptance Indicator Other Details</t>
  </si>
  <si>
    <t>Merchant Gave Permission To Test</t>
  </si>
  <si>
    <t>Result Of Contactless Test</t>
  </si>
  <si>
    <t>Value Claims Used</t>
  </si>
  <si>
    <t>General Notesand Observations</t>
  </si>
  <si>
    <t>Interior Where POP Wil lBe Seen</t>
  </si>
  <si>
    <t>Did You Place Interior POP</t>
  </si>
  <si>
    <t>Interior Common POP Placed</t>
  </si>
  <si>
    <t>If interior POP was placed, did it include Contactless symbol?</t>
  </si>
  <si>
    <t>Why Not Interior POP Placed</t>
  </si>
  <si>
    <t>Exterior Placed POP Include Contactless</t>
  </si>
  <si>
    <t>Why Not Exterior POP Placed</t>
  </si>
  <si>
    <t>Other Merchant Exterior POP Objection</t>
  </si>
  <si>
    <t>Exterior Where POP Will Be Seen</t>
  </si>
  <si>
    <t>Did You Place Exterior POP</t>
  </si>
  <si>
    <t>Exterior Common POP Placed</t>
  </si>
  <si>
    <t>External Placed POP Include Contactless</t>
  </si>
  <si>
    <t>Contactless POP Non Placement Reason</t>
  </si>
  <si>
    <t>Did You Leave POP Behind</t>
  </si>
  <si>
    <t>What Common POP Left Behind</t>
  </si>
  <si>
    <t>Did You Order The Merchant Premium POP</t>
  </si>
  <si>
    <t>Did YouLeave Collateral Materials</t>
  </si>
  <si>
    <t>Did You Leave Behind Non Placemente</t>
  </si>
  <si>
    <t>What Non Placement Items Did You Leave</t>
  </si>
  <si>
    <t>Acceptance Meter</t>
  </si>
  <si>
    <t>Non Rate Related Objection</t>
  </si>
  <si>
    <t>AXP Values Solutions</t>
  </si>
  <si>
    <t>Merchant Need Discussed</t>
  </si>
  <si>
    <t>Are address details correct</t>
  </si>
  <si>
    <t>Entry_DateSubmitted</t>
  </si>
  <si>
    <t>william pizza fajardo 1</t>
  </si>
  <si>
    <t>FAJARDO</t>
  </si>
  <si>
    <t>00738</t>
  </si>
  <si>
    <t>PRUEBA AMEX 24 MEETING</t>
  </si>
  <si>
    <t>HOLIDAY</t>
  </si>
  <si>
    <t>RESTAURANTS</t>
  </si>
  <si>
    <t>Test</t>
  </si>
  <si>
    <t>ES</t>
  </si>
  <si>
    <t>Area Isla</t>
  </si>
  <si>
    <t>RESTAURANT</t>
  </si>
  <si>
    <t>CALL</t>
  </si>
  <si>
    <t>ANALDYVEGA@YAHOO.COM</t>
  </si>
  <si>
    <t>WILLIAM PIZZA FAJARDO 1</t>
  </si>
  <si>
    <t>100 CALLE UNION</t>
  </si>
  <si>
    <t>ANALDY</t>
  </si>
  <si>
    <t>VEGA ROSARIO</t>
  </si>
  <si>
    <t>2023-08-23T00:00:00</t>
  </si>
  <si>
    <t>EVERTEC, INC</t>
  </si>
  <si>
    <t>QAZ</t>
  </si>
  <si>
    <t>Closed at the time of Visit</t>
  </si>
  <si>
    <t>as</t>
  </si>
  <si>
    <t>DCC</t>
  </si>
  <si>
    <t>C</t>
  </si>
  <si>
    <t>Escarly Piragauta</t>
  </si>
  <si>
    <t>Existing with a partner - new to Amex</t>
  </si>
  <si>
    <t>NOEL MASS BERNARDO</t>
  </si>
  <si>
    <t>Chamariz Martinez</t>
  </si>
  <si>
    <t>AMEX POP Only</t>
  </si>
  <si>
    <t>Cash Discounts</t>
  </si>
  <si>
    <t>No one available to speak to</t>
  </si>
  <si>
    <t>jj</t>
  </si>
  <si>
    <t>No-Did not validate</t>
  </si>
  <si>
    <t>Card Member Value Claims, Signage Value Claims</t>
  </si>
  <si>
    <t>DECAL AMEX (BLUE BOX)</t>
  </si>
  <si>
    <t>Clean Store</t>
  </si>
  <si>
    <t>j</t>
  </si>
  <si>
    <t>DECAL SUPPORT BUSINESS</t>
  </si>
  <si>
    <t>Alternative system in use with QR codes</t>
  </si>
  <si>
    <t>SINGLE CARD COUNTER SIGN</t>
  </si>
  <si>
    <t>TOTE BAG SHOP SMALL</t>
  </si>
  <si>
    <t>Uncertain</t>
  </si>
  <si>
    <t>No Card Member Demand</t>
  </si>
  <si>
    <t>Merchant Data and Insights, Offers</t>
  </si>
  <si>
    <t>Financial Services (loans/credits)</t>
  </si>
  <si>
    <t>Submitted</t>
  </si>
  <si>
    <t>piscis aquarius vc</t>
  </si>
  <si>
    <t>CABO ROJO</t>
  </si>
  <si>
    <t>PRUEBA 1</t>
  </si>
  <si>
    <t>VISITS</t>
  </si>
  <si>
    <t>ACCOUNTING@AQUARIUSRESORTS.COM</t>
  </si>
  <si>
    <t>PISCIS AQUARIUS VC</t>
  </si>
  <si>
    <t>CARR 101 KM 18</t>
  </si>
  <si>
    <t>SILVIA</t>
  </si>
  <si>
    <t>ALBINO</t>
  </si>
  <si>
    <t>2020-11-14T00:00:00</t>
  </si>
  <si>
    <t>Under Constuction</t>
  </si>
  <si>
    <t>DE</t>
  </si>
  <si>
    <t>fdd</t>
  </si>
  <si>
    <t>Denisse Green</t>
  </si>
  <si>
    <t>Minimum Purchases Signage</t>
  </si>
  <si>
    <t>ATM Machine</t>
  </si>
  <si>
    <t>Card Member Value Claims, Industry Value Claims, Recommendations Value Claims, Chargeback/â€‹Dispute</t>
  </si>
  <si>
    <t>DECAL PUSH PULL AMEX</t>
  </si>
  <si>
    <t>Existing POP on entry, dont want more</t>
  </si>
  <si>
    <t>Senior Approval Needed</t>
  </si>
  <si>
    <t>BS WHITE BOARD</t>
  </si>
  <si>
    <t>Accepts Conditionally</t>
  </si>
  <si>
    <t>Disputes/Chargebacks</t>
  </si>
  <si>
    <t>Business Services, Merchant Data and Insights, Offers</t>
  </si>
  <si>
    <t>Expand Business (Online, new locations, new business)</t>
  </si>
  <si>
    <t>new special china</t>
  </si>
  <si>
    <t>QUEBRADILLAS</t>
  </si>
  <si>
    <t>DANIAFENG@GMAIL.COM</t>
  </si>
  <si>
    <t>NEW SPECIAL CHINA</t>
  </si>
  <si>
    <t>CARR 2 R 481 KM 98 HM 5 INT BO COCOS</t>
  </si>
  <si>
    <t>MU</t>
  </si>
  <si>
    <t>HONG FENG</t>
  </si>
  <si>
    <t>2023-10-31T00:00:00</t>
  </si>
  <si>
    <t>New- Not Opened</t>
  </si>
  <si>
    <t>Andres Gonzales</t>
  </si>
  <si>
    <t>Yes-DecisionMaker</t>
  </si>
  <si>
    <t>No-Terminal inaccessible to customers</t>
  </si>
  <si>
    <t>Card Member Value Claims, Industry Value Claims, Recommendations Value Claims</t>
  </si>
  <si>
    <t>a</t>
  </si>
  <si>
    <t>SIGN OPEN/CLOSED</t>
  </si>
  <si>
    <t>AMEX SHOP SMALL WHITE BOARD SIGN</t>
  </si>
  <si>
    <t>SEIMS Level 1 – Industry Code</t>
  </si>
  <si>
    <t>SEIMS Level 1 – Industry Description</t>
  </si>
  <si>
    <t>Sell_​SE_​No</t>
  </si>
  <si>
    <t>Completed Visits</t>
  </si>
  <si>
    <t>Type of Relationship with Processor/​ Bank</t>
  </si>
  <si>
    <t>Report</t>
  </si>
  <si>
    <t>Odoo</t>
  </si>
  <si>
    <t xml:space="preserve">PR </t>
  </si>
  <si>
    <t>Leave blank/do not need</t>
  </si>
  <si>
    <t>Leave blank</t>
  </si>
  <si>
    <t>aida corp</t>
  </si>
  <si>
    <t>CIDRA</t>
  </si>
  <si>
    <t>00739</t>
  </si>
  <si>
    <t>Prubas Visitas &amp; Llamadas 4-16-26</t>
  </si>
  <si>
    <t>PROFESSIONAL SERVICES</t>
  </si>
  <si>
    <t>PR_112025ACT</t>
  </si>
  <si>
    <t>MEDICAL SERVICE</t>
  </si>
  <si>
    <t>CALLS</t>
  </si>
  <si>
    <t>OSVALDOO49@GMAIL.COM</t>
  </si>
  <si>
    <t>AIDA CORP</t>
  </si>
  <si>
    <t>BO ARENAS SECT SANTA CLARA</t>
  </si>
  <si>
    <t>CARR 734 KM 1.4 INT</t>
  </si>
  <si>
    <t>OSVALDO</t>
  </si>
  <si>
    <t>ORTIZ</t>
  </si>
  <si>
    <t>CONSTRUCTION</t>
  </si>
  <si>
    <t>Card Member Value Claims, Industry Value Claims, Recommendations Value Claims, Signage Value Claims, Chargeback/â€‹Dispute</t>
  </si>
  <si>
    <t>Business Services, Merchant Data and Insights, Offers, Point of Purchase Supplies</t>
  </si>
  <si>
    <t>9382277896</t>
  </si>
  <si>
    <t>0</t>
  </si>
  <si>
    <t>8099</t>
  </si>
  <si>
    <t>9380500950</t>
  </si>
  <si>
    <t>21296.24</t>
  </si>
  <si>
    <t>111052</t>
  </si>
  <si>
    <t>4549106833428</t>
  </si>
  <si>
    <t>739</t>
  </si>
  <si>
    <t>8410</t>
  </si>
  <si>
    <t>9380502204</t>
  </si>
  <si>
    <t>9380500943</t>
  </si>
  <si>
    <t>Card Member Value Claims, Industry Value Claims, Recommendations Value Claims, Signage Value Claims, Chargeback/​Dispute</t>
  </si>
  <si>
    <t>Month</t>
  </si>
  <si>
    <t>Year</t>
  </si>
  <si>
    <t>id</t>
  </si>
  <si>
    <t xml:space="preserve"> visitsdispositionreport_id</t>
  </si>
  <si>
    <t xml:space="preserve"> merchantname</t>
  </si>
  <si>
    <t xml:space="preserve"> sell_se_no</t>
  </si>
  <si>
    <t xml:space="preserve"> merchantcity</t>
  </si>
  <si>
    <t xml:space="preserve"> merchantstate</t>
  </si>
  <si>
    <t xml:space="preserve"> merchantzipcode</t>
  </si>
  <si>
    <t xml:space="preserve"> listname</t>
  </si>
  <si>
    <t xml:space="preserve"> name</t>
  </si>
  <si>
    <t xml:space="preserve"> blitz_event</t>
  </si>
  <si>
    <t xml:space="preserve"> broad_industry</t>
  </si>
  <si>
    <t xml:space="preserve"> control_indicator</t>
  </si>
  <si>
    <t xml:space="preserve"> language_preference</t>
  </si>
  <si>
    <t xml:space="preserve"> lead_list_name</t>
  </si>
  <si>
    <t xml:space="preserve"> locale</t>
  </si>
  <si>
    <t xml:space="preserve"> mcc_code</t>
  </si>
  <si>
    <t xml:space="preserve"> mcc_description</t>
  </si>
  <si>
    <t xml:space="preserve"> payee_merchant_number</t>
  </si>
  <si>
    <t xml:space="preserve"> program_segmentation</t>
  </si>
  <si>
    <t xml:space="preserve"> r12_cv</t>
  </si>
  <si>
    <t xml:space="preserve"> relationship_group_type_description</t>
  </si>
  <si>
    <t xml:space="preserve"> se_10_seller_number</t>
  </si>
  <si>
    <t xml:space="preserve"> seims_level_1_industry_code</t>
  </si>
  <si>
    <t xml:space="preserve"> seims_level_1_industry_description</t>
  </si>
  <si>
    <t xml:space="preserve"> sales_channel_name</t>
  </si>
  <si>
    <t xml:space="preserve"> seller_acceptance_status_description</t>
  </si>
  <si>
    <t xml:space="preserve"> seller_email_address_text</t>
  </si>
  <si>
    <t xml:space="preserve"> seller_id</t>
  </si>
  <si>
    <t xml:space="preserve"> seller_id_business_phone_number</t>
  </si>
  <si>
    <t xml:space="preserve"> seller_id_city_name</t>
  </si>
  <si>
    <t xml:space="preserve"> seller_id_country_code</t>
  </si>
  <si>
    <t xml:space="preserve"> seller_id_dba_name</t>
  </si>
  <si>
    <t xml:space="preserve"> seller_id_postal_code</t>
  </si>
  <si>
    <t xml:space="preserve"> seller_id_region_area_code</t>
  </si>
  <si>
    <t xml:space="preserve"> seller_id_standard_address_line_1_text</t>
  </si>
  <si>
    <t xml:space="preserve"> seller_id_standard_address_line_2_text</t>
  </si>
  <si>
    <t xml:space="preserve"> seller_partner_code</t>
  </si>
  <si>
    <t xml:space="preserve"> significant_owner_first_name</t>
  </si>
  <si>
    <t xml:space="preserve"> significant_owner_last_name</t>
  </si>
  <si>
    <t xml:space="preserve"> source_create_date_1</t>
  </si>
  <si>
    <t xml:space="preserve"> submitter_id</t>
  </si>
  <si>
    <t xml:space="preserve"> submitter_merchant_number</t>
  </si>
  <si>
    <t xml:space="preserve"> tpa_merchant_name</t>
  </si>
  <si>
    <t xml:space="preserve"> tpa_merchant_number</t>
  </si>
  <si>
    <t xml:space="preserve"> target_segmentation</t>
  </si>
  <si>
    <t xml:space="preserve"> wa_industry</t>
  </si>
  <si>
    <t xml:space="preserve"> merchant_name</t>
  </si>
  <si>
    <t xml:space="preserve"> sell_se_no_1</t>
  </si>
  <si>
    <t xml:space="preserve"> type_of_merchant</t>
  </si>
  <si>
    <t xml:space="preserve"> current_state_name</t>
  </si>
  <si>
    <t xml:space="preserve"> partner_name</t>
  </si>
  <si>
    <t xml:space="preserve"> record_dma</t>
  </si>
  <si>
    <t xml:space="preserve"> merchant_city</t>
  </si>
  <si>
    <t xml:space="preserve"> merchant_zip_code</t>
  </si>
  <si>
    <t xml:space="preserve"> merchant_legal_name</t>
  </si>
  <si>
    <t xml:space="preserve"> merchant_inactive</t>
  </si>
  <si>
    <t xml:space="preserve"> type_of_relationship_with_processor__bank</t>
  </si>
  <si>
    <t xml:space="preserve"> merchant_portfolio</t>
  </si>
  <si>
    <t xml:space="preserve"> merchant_industry_name</t>
  </si>
  <si>
    <t xml:space="preserve"> specialty_lead_type</t>
  </si>
  <si>
    <t xml:space="preserve"> lead_list</t>
  </si>
  <si>
    <t xml:space="preserve"> record_owner</t>
  </si>
  <si>
    <t xml:space="preserve"> agent_name</t>
  </si>
  <si>
    <t xml:space="preserve"> what_exterior_pop_seen_organic</t>
  </si>
  <si>
    <t xml:space="preserve"> was_organic_amex_pop_in_good_condition</t>
  </si>
  <si>
    <t xml:space="preserve"> what_interior_pop_seen_organic</t>
  </si>
  <si>
    <t xml:space="preserve"> was_contactless_pop_displayed</t>
  </si>
  <si>
    <t xml:space="preserve"> did_you_observe_any_external_payment</t>
  </si>
  <si>
    <t xml:space="preserve"> what_external_payment_acceptance</t>
  </si>
  <si>
    <t xml:space="preserve"> did_you_speak_with_a_decision_maker</t>
  </si>
  <si>
    <t xml:space="preserve"> was_merchant_aware_of_amex_acceptance</t>
  </si>
  <si>
    <t xml:space="preserve"> did_the_merchant_indicate_they_were_acept</t>
  </si>
  <si>
    <t xml:space="preserve"> did_you_observe_any_payment_acceptantance_pop</t>
  </si>
  <si>
    <t xml:space="preserve"> payment_acceptance_indicators_seen</t>
  </si>
  <si>
    <t xml:space="preserve"> acceptance_indicator_other_details</t>
  </si>
  <si>
    <t xml:space="preserve"> merchant_gave_permission_to_test</t>
  </si>
  <si>
    <t xml:space="preserve"> result_of_contactless_test</t>
  </si>
  <si>
    <t xml:space="preserve"> value_claims_used</t>
  </si>
  <si>
    <t xml:space="preserve"> general_notesand_observations</t>
  </si>
  <si>
    <t xml:space="preserve"> interior_where_pop_wil_lbe_seen</t>
  </si>
  <si>
    <t xml:space="preserve"> did_you_place_interior_pop</t>
  </si>
  <si>
    <t xml:space="preserve"> interior_common_pop_placed</t>
  </si>
  <si>
    <t xml:space="preserve"> if_interior_pop_was_placed_did_it_include_contactless_symbol</t>
  </si>
  <si>
    <t xml:space="preserve"> why_not_interior_pop_placed</t>
  </si>
  <si>
    <t xml:space="preserve"> exterior_placed_pop_include_contactless</t>
  </si>
  <si>
    <t xml:space="preserve"> why_not_exterior_pop_placed</t>
  </si>
  <si>
    <t xml:space="preserve"> other_merchant_exterior_pop_objection</t>
  </si>
  <si>
    <t xml:space="preserve"> exterior_where_pop_will_be_seen</t>
  </si>
  <si>
    <t xml:space="preserve"> did_you_place_exterior_pop</t>
  </si>
  <si>
    <t xml:space="preserve"> exterior_common_pop_placed</t>
  </si>
  <si>
    <t xml:space="preserve"> external_placed_pop_include_contactless</t>
  </si>
  <si>
    <t xml:space="preserve"> contactless_pop_non_placement_reason</t>
  </si>
  <si>
    <t xml:space="preserve"> did_you_leave_pop_behind</t>
  </si>
  <si>
    <t xml:space="preserve"> what_common_pop_left_behind</t>
  </si>
  <si>
    <t xml:space="preserve"> did_you_order_the_merchant_premium_pop</t>
  </si>
  <si>
    <t xml:space="preserve"> did_youleave_collateral_materials</t>
  </si>
  <si>
    <t xml:space="preserve"> did_you_leave_behind_non_placemente</t>
  </si>
  <si>
    <t xml:space="preserve"> what_non_placement_items_did_you_leave</t>
  </si>
  <si>
    <t xml:space="preserve"> acceptance_meter</t>
  </si>
  <si>
    <t xml:space="preserve"> non_rate_related_objection</t>
  </si>
  <si>
    <t xml:space="preserve"> axp_values_solutions</t>
  </si>
  <si>
    <t xml:space="preserve"> merchant_need_discussed</t>
  </si>
  <si>
    <t xml:space="preserve"> are_address_details_correct</t>
  </si>
  <si>
    <t xml:space="preserve"> agentname</t>
  </si>
  <si>
    <t xml:space="preserve"> entry_status</t>
  </si>
  <si>
    <t xml:space="preserve"> entry_datesubmitted</t>
  </si>
  <si>
    <t xml:space="preserve"> month</t>
  </si>
  <si>
    <t xml:space="preserve"> year</t>
  </si>
  <si>
    <t xml:space="preserve"> created_at</t>
  </si>
  <si>
    <t xml:space="preserve"> updated_at</t>
  </si>
  <si>
    <t xml:space="preserve"> source_create_date</t>
  </si>
  <si>
    <t xml:space="preserve"> completed_visits</t>
  </si>
  <si>
    <t xml:space="preserve"> type_of_relationship_with_processor_bank</t>
  </si>
  <si>
    <t>If Type of merchar= Inanctive YES else NO</t>
  </si>
  <si>
    <t>Mantener formato fecha</t>
  </si>
  <si>
    <t>Source_Create_Date (MM/DD/YYYY)</t>
  </si>
  <si>
    <t>Database field</t>
  </si>
  <si>
    <t>type_of_merchant</t>
  </si>
  <si>
    <t>current_state_name</t>
  </si>
  <si>
    <t>partner_name</t>
  </si>
  <si>
    <t>record_dma</t>
  </si>
  <si>
    <t>merchant_city</t>
  </si>
  <si>
    <t>merchant_legal_name</t>
  </si>
  <si>
    <t>merchant_inactive</t>
  </si>
  <si>
    <t>merchant_portfolio</t>
  </si>
  <si>
    <t>agent_name</t>
  </si>
  <si>
    <t>what_exterior_pop_seen_organic</t>
  </si>
  <si>
    <t>was_organic_amex_pop_in_good_condition</t>
  </si>
  <si>
    <t>what_interior_pop_seen_organic</t>
  </si>
  <si>
    <t>was_contactless_pop_displayed</t>
  </si>
  <si>
    <t>did_you_observe_any_external_payment</t>
  </si>
  <si>
    <t>what_external_payment_acceptance</t>
  </si>
  <si>
    <t>did_you_speak_with_a_decision_maker</t>
  </si>
  <si>
    <t>was_merchant_aware_of_amex_acceptance</t>
  </si>
  <si>
    <t>did_the_merchant_indicate_they_were_acept</t>
  </si>
  <si>
    <t>did_you_observe_any_payment_acceptantance_pop</t>
  </si>
  <si>
    <t>payment_acceptance_indicators_seen</t>
  </si>
  <si>
    <t>acceptance_indicator_other_details</t>
  </si>
  <si>
    <t>merchant_gave_permission_to_test</t>
  </si>
  <si>
    <t>result_of_contactless_test</t>
  </si>
  <si>
    <t>value_claims_used</t>
  </si>
  <si>
    <t>general_notesand_observations</t>
  </si>
  <si>
    <t>why_not_interior_pop_placed</t>
  </si>
  <si>
    <t>exterior_placed_pop_include_contactless</t>
  </si>
  <si>
    <t>why_not_exterior_pop_placed</t>
  </si>
  <si>
    <t>other_merchant_exterior_pop_objection</t>
  </si>
  <si>
    <t>exterior_where_pop_will_be_seen</t>
  </si>
  <si>
    <t>external_placed_pop_include_contactless</t>
  </si>
  <si>
    <t>contactless_pop_non_placement_reason</t>
  </si>
  <si>
    <t>acceptance_meter</t>
  </si>
  <si>
    <t>non_rate_related_objection</t>
  </si>
  <si>
    <t>axp_values_solutions</t>
  </si>
  <si>
    <t>merchant_need_discussed</t>
  </si>
  <si>
    <t>are_address_details_correct</t>
  </si>
  <si>
    <t>submitter_id</t>
  </si>
  <si>
    <t>seller_id_city_name</t>
  </si>
  <si>
    <t>seller_id_dba_name</t>
  </si>
  <si>
    <t>relationship_group_type_description</t>
  </si>
  <si>
    <t>wa_industry</t>
  </si>
  <si>
    <t>merchantzipcode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</si>
</sst>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\ AM/PM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2F5496"/>
        <bgColor rgb="FF2F5496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rgb="FF0070C0"/>
      </patternFill>
    </fill>
  </fills>
  <borders count="5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2" fillId="0" borderId="0" xfId="0" applyFont="1"/>
    <xf numFmtId="0" fontId="1" fillId="0" borderId="0" xfId="0" applyFont="1"/>
    <xf numFmtId="47" fontId="0" fillId="0" borderId="0" xfId="0" applyNumberFormat="1"/>
    <xf numFmtId="0" fontId="0" fillId="4" borderId="0" xfId="0" applyFill="1"/>
    <xf numFmtId="0" fontId="0" fillId="5" borderId="0" xfId="0" applyFill="1"/>
    <xf numFmtId="0" fontId="0" fillId="0" borderId="0" xfId="0" quotePrefix="1"/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5" fillId="9" borderId="3" xfId="0" applyFont="1" applyFill="1" applyBorder="1" applyAlignment="1">
      <alignment wrapText="1"/>
    </xf>
    <xf numFmtId="0" fontId="5" fillId="9" borderId="4" xfId="0" applyFont="1" applyFill="1" applyBorder="1" applyAlignment="1">
      <alignment wrapText="1"/>
    </xf>
    <xf numFmtId="0" fontId="5" fillId="10" borderId="4" xfId="0" applyFont="1" applyFill="1" applyBorder="1" applyAlignment="1">
      <alignment wrapText="1"/>
    </xf>
    <xf numFmtId="0" fontId="6" fillId="0" borderId="0" xfId="0" applyFont="1"/>
    <xf numFmtId="164" fontId="6" fillId="0" borderId="0" xfId="0" applyNumberFormat="1" applyFont="1"/>
    <xf numFmtId="14" fontId="6" fillId="0" borderId="0" xfId="0" applyNumberFormat="1" applyFont="1"/>
    <xf numFmtId="0" fontId="7" fillId="11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9A59-96A8-417C-A7D0-682C747809F5}">
  <dimension ref="A1:EE12"/>
  <sheetViews>
    <sheetView workbookViewId="0">
      <selection activeCell="CM9" sqref="CM9"/>
    </sheetView>
  </sheetViews>
  <sheetFormatPr defaultRowHeight="15" x14ac:dyDescent="0.25"/>
  <cols>
    <col min="1" max="1" width="28.42578125" bestFit="1" customWidth="1"/>
    <col min="2" max="2" width="11" bestFit="1" customWidth="1"/>
    <col min="3" max="3" width="34.140625" customWidth="1"/>
    <col min="4" max="4" width="15.7109375" bestFit="1" customWidth="1"/>
    <col min="5" max="5" width="18.28515625" bestFit="1" customWidth="1"/>
    <col min="6" max="6" width="27.7109375" bestFit="1" customWidth="1"/>
    <col min="7" max="7" width="11.5703125" bestFit="1" customWidth="1"/>
    <col min="8" max="8" width="13.28515625" bestFit="1" customWidth="1"/>
    <col min="9" max="9" width="14.28515625" bestFit="1" customWidth="1"/>
    <col min="10" max="10" width="17.28515625" bestFit="1" customWidth="1"/>
    <col min="11" max="11" width="34.28515625" bestFit="1" customWidth="1"/>
    <col min="12" max="12" width="16.7109375" bestFit="1" customWidth="1"/>
    <col min="13" max="13" width="33" bestFit="1" customWidth="1"/>
    <col min="14" max="14" width="20.28515625" bestFit="1" customWidth="1"/>
    <col min="15" max="15" width="17.5703125" bestFit="1" customWidth="1"/>
    <col min="16" max="16" width="22.85546875" bestFit="1" customWidth="1"/>
    <col min="17" max="17" width="18.140625" bestFit="1" customWidth="1"/>
    <col min="18" max="18" width="15.5703125" bestFit="1" customWidth="1"/>
    <col min="19" max="19" width="13.42578125" bestFit="1" customWidth="1"/>
    <col min="20" max="20" width="13.85546875" bestFit="1" customWidth="1"/>
    <col min="21" max="21" width="30.140625" bestFit="1" customWidth="1"/>
    <col min="22" max="22" width="36.85546875" bestFit="1" customWidth="1"/>
    <col min="23" max="23" width="29.7109375" bestFit="1" customWidth="1"/>
    <col min="24" max="24" width="29" bestFit="1" customWidth="1"/>
    <col min="25" max="25" width="35.7109375" bestFit="1" customWidth="1"/>
    <col min="26" max="26" width="45.140625" bestFit="1" customWidth="1"/>
    <col min="27" max="27" width="32.5703125" bestFit="1" customWidth="1"/>
    <col min="28" max="28" width="37.140625" bestFit="1" customWidth="1"/>
    <col min="29" max="29" width="35.28515625" bestFit="1" customWidth="1"/>
    <col min="30" max="30" width="45.140625" bestFit="1" customWidth="1"/>
    <col min="31" max="31" width="33.5703125" bestFit="1" customWidth="1"/>
    <col min="32" max="32" width="31.7109375" bestFit="1" customWidth="1"/>
    <col min="33" max="33" width="35.42578125" bestFit="1" customWidth="1"/>
    <col min="34" max="34" width="24.140625" bestFit="1" customWidth="1"/>
    <col min="35" max="35" width="25.140625" bestFit="1" customWidth="1"/>
    <col min="36" max="36" width="29.42578125" bestFit="1" customWidth="1"/>
    <col min="37" max="37" width="28.85546875" bestFit="1" customWidth="1"/>
    <col min="38" max="38" width="23.28515625" bestFit="1" customWidth="1"/>
    <col min="39" max="39" width="26.28515625" bestFit="1" customWidth="1"/>
    <col min="40" max="40" width="31.42578125" bestFit="1" customWidth="1"/>
    <col min="41" max="41" width="34.85546875" bestFit="1" customWidth="1"/>
    <col min="42" max="42" width="30.28515625" bestFit="1" customWidth="1"/>
    <col min="43" max="43" width="28.85546875" bestFit="1" customWidth="1"/>
    <col min="44" max="44" width="23.7109375" bestFit="1" customWidth="1"/>
    <col min="45" max="45" width="26.7109375" bestFit="1" customWidth="1"/>
    <col min="46" max="46" width="31.85546875" bestFit="1" customWidth="1"/>
    <col min="47" max="47" width="34.85546875" bestFit="1" customWidth="1"/>
    <col min="48" max="48" width="30.7109375" bestFit="1" customWidth="1"/>
    <col min="49" max="49" width="36.42578125" bestFit="1" customWidth="1"/>
    <col min="50" max="50" width="23.28515625" bestFit="1" customWidth="1"/>
    <col min="51" max="51" width="28.140625" bestFit="1" customWidth="1"/>
    <col min="52" max="52" width="36.42578125" bestFit="1" customWidth="1"/>
    <col min="53" max="53" width="30.7109375" bestFit="1" customWidth="1"/>
    <col min="54" max="54" width="35.7109375" bestFit="1" customWidth="1"/>
    <col min="55" max="55" width="36.85546875" bestFit="1" customWidth="1"/>
    <col min="56" max="56" width="16.85546875" bestFit="1" customWidth="1"/>
    <col min="57" max="57" width="21.42578125" bestFit="1" customWidth="1"/>
    <col min="58" max="58" width="23.140625" bestFit="1" customWidth="1"/>
    <col min="59" max="59" width="30.140625" bestFit="1" customWidth="1"/>
    <col min="60" max="60" width="25.140625" bestFit="1" customWidth="1"/>
    <col min="61" max="61" width="28.7109375" bestFit="1" customWidth="1"/>
    <col min="62" max="62" width="18.5703125" bestFit="1" customWidth="1"/>
    <col min="63" max="63" width="19.28515625" bestFit="1" customWidth="1"/>
    <col min="64" max="64" width="32.7109375" bestFit="1" customWidth="1"/>
    <col min="65" max="65" width="27.7109375" bestFit="1" customWidth="1"/>
    <col min="66" max="66" width="33.42578125" bestFit="1" customWidth="1"/>
    <col min="67" max="67" width="16.28515625" bestFit="1" customWidth="1"/>
    <col min="68" max="68" width="21" bestFit="1" customWidth="1"/>
    <col min="69" max="69" width="27" bestFit="1" customWidth="1"/>
    <col min="70" max="70" width="32.28515625" bestFit="1" customWidth="1"/>
    <col min="71" max="71" width="34.5703125" bestFit="1" customWidth="1"/>
    <col min="72" max="72" width="29.42578125" bestFit="1" customWidth="1"/>
    <col min="73" max="73" width="34.85546875" bestFit="1" customWidth="1"/>
    <col min="74" max="74" width="33.28515625" bestFit="1" customWidth="1"/>
    <col min="75" max="75" width="30.5703125" bestFit="1" customWidth="1"/>
    <col min="76" max="76" width="41.140625" bestFit="1" customWidth="1"/>
    <col min="77" max="77" width="29" bestFit="1" customWidth="1"/>
    <col min="78" max="78" width="30.42578125" bestFit="1" customWidth="1"/>
    <col min="79" max="79" width="19.5703125" bestFit="1" customWidth="1"/>
    <col min="80" max="80" width="25" bestFit="1" customWidth="1"/>
    <col min="81" max="82" width="34.42578125" bestFit="1" customWidth="1"/>
    <col min="83" max="83" width="11.140625" bestFit="1" customWidth="1"/>
    <col min="84" max="84" width="23.85546875" bestFit="1" customWidth="1"/>
    <col min="85" max="85" width="21.140625" bestFit="1" customWidth="1"/>
    <col min="86" max="86" width="33.42578125" bestFit="1" customWidth="1"/>
    <col min="87" max="87" width="22" bestFit="1" customWidth="1"/>
    <col min="88" max="88" width="15" bestFit="1" customWidth="1"/>
    <col min="89" max="89" width="15.42578125" bestFit="1" customWidth="1"/>
    <col min="90" max="113" width="18.28515625" customWidth="1"/>
  </cols>
  <sheetData>
    <row r="1" spans="1:13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180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E1" s="10"/>
    </row>
    <row r="2" spans="1:135" x14ac:dyDescent="0.25">
      <c r="A2" t="s">
        <v>90</v>
      </c>
      <c r="B2" s="6">
        <v>9380876889</v>
      </c>
      <c r="C2" s="7">
        <v>46031.684722222199</v>
      </c>
      <c r="D2" t="s">
        <v>91</v>
      </c>
      <c r="F2" t="s">
        <v>92</v>
      </c>
      <c r="G2" t="s">
        <v>93</v>
      </c>
      <c r="H2" t="s">
        <v>93</v>
      </c>
      <c r="I2" t="s">
        <v>94</v>
      </c>
      <c r="J2" s="6">
        <v>956</v>
      </c>
      <c r="K2" t="s">
        <v>90</v>
      </c>
      <c r="L2" t="s">
        <v>95</v>
      </c>
      <c r="M2" t="s">
        <v>96</v>
      </c>
      <c r="N2" s="8">
        <v>43645</v>
      </c>
      <c r="O2" t="s">
        <v>97</v>
      </c>
      <c r="P2" t="s">
        <v>98</v>
      </c>
      <c r="R2" t="s">
        <v>99</v>
      </c>
      <c r="T2" t="s">
        <v>100</v>
      </c>
      <c r="U2" t="s">
        <v>101</v>
      </c>
      <c r="V2" t="s">
        <v>102</v>
      </c>
      <c r="W2" t="s">
        <v>101</v>
      </c>
      <c r="X2" t="s">
        <v>102</v>
      </c>
      <c r="Y2" t="s">
        <v>102</v>
      </c>
      <c r="Z2" t="s">
        <v>103</v>
      </c>
      <c r="AB2" t="s">
        <v>102</v>
      </c>
      <c r="AC2" t="s">
        <v>102</v>
      </c>
      <c r="AD2" t="s">
        <v>103</v>
      </c>
      <c r="AI2" t="s">
        <v>104</v>
      </c>
      <c r="AK2" t="s">
        <v>102</v>
      </c>
      <c r="AL2" t="s">
        <v>102</v>
      </c>
      <c r="AM2" t="s">
        <v>105</v>
      </c>
      <c r="AN2" t="s">
        <v>102</v>
      </c>
      <c r="AP2" t="s">
        <v>95</v>
      </c>
      <c r="AQ2" t="s">
        <v>102</v>
      </c>
      <c r="AR2" t="s">
        <v>102</v>
      </c>
      <c r="AS2" t="s">
        <v>106</v>
      </c>
      <c r="AT2" t="s">
        <v>95</v>
      </c>
      <c r="AZ2" t="s">
        <v>95</v>
      </c>
      <c r="BA2" t="s">
        <v>102</v>
      </c>
      <c r="BB2" t="s">
        <v>102</v>
      </c>
      <c r="BC2" t="s">
        <v>107</v>
      </c>
      <c r="BD2" t="s">
        <v>108</v>
      </c>
      <c r="BK2" t="s">
        <v>95</v>
      </c>
      <c r="BL2" t="s">
        <v>109</v>
      </c>
    </row>
    <row r="3" spans="1:135" x14ac:dyDescent="0.25">
      <c r="A3" t="s">
        <v>110</v>
      </c>
      <c r="B3" s="6">
        <v>9381337600</v>
      </c>
      <c r="C3" s="7">
        <v>46031.682638888902</v>
      </c>
      <c r="D3" t="s">
        <v>111</v>
      </c>
      <c r="F3" t="s">
        <v>112</v>
      </c>
      <c r="G3" t="s">
        <v>93</v>
      </c>
      <c r="H3" t="s">
        <v>93</v>
      </c>
      <c r="I3" t="s">
        <v>94</v>
      </c>
      <c r="J3" s="6">
        <v>961</v>
      </c>
      <c r="K3" t="s">
        <v>110</v>
      </c>
      <c r="L3" t="s">
        <v>102</v>
      </c>
      <c r="M3" t="s">
        <v>96</v>
      </c>
      <c r="N3" s="8">
        <v>43990</v>
      </c>
      <c r="O3" t="s">
        <v>97</v>
      </c>
      <c r="P3" t="s">
        <v>113</v>
      </c>
      <c r="R3" t="s">
        <v>114</v>
      </c>
      <c r="T3" t="s">
        <v>100</v>
      </c>
      <c r="U3" t="s">
        <v>115</v>
      </c>
      <c r="W3" t="s">
        <v>115</v>
      </c>
      <c r="X3" t="s">
        <v>95</v>
      </c>
      <c r="Y3" t="s">
        <v>102</v>
      </c>
      <c r="Z3" t="s">
        <v>103</v>
      </c>
      <c r="AB3" t="s">
        <v>102</v>
      </c>
      <c r="AC3" t="s">
        <v>102</v>
      </c>
      <c r="AD3" t="s">
        <v>103</v>
      </c>
      <c r="AI3" t="s">
        <v>104</v>
      </c>
      <c r="AK3" t="s">
        <v>95</v>
      </c>
      <c r="AL3" t="s">
        <v>102</v>
      </c>
      <c r="AM3" t="s">
        <v>105</v>
      </c>
      <c r="AN3" t="s">
        <v>102</v>
      </c>
      <c r="AP3" t="s">
        <v>95</v>
      </c>
      <c r="AZ3" t="s">
        <v>95</v>
      </c>
      <c r="BA3" t="s">
        <v>102</v>
      </c>
      <c r="BB3" t="s">
        <v>102</v>
      </c>
      <c r="BC3" t="s">
        <v>116</v>
      </c>
      <c r="BD3" t="s">
        <v>108</v>
      </c>
      <c r="BK3" t="s">
        <v>95</v>
      </c>
    </row>
    <row r="4" spans="1:135" x14ac:dyDescent="0.25">
      <c r="A4" t="s">
        <v>117</v>
      </c>
      <c r="B4" s="6">
        <v>9382016500</v>
      </c>
      <c r="C4" s="7">
        <v>46031.681250000001</v>
      </c>
      <c r="D4" t="s">
        <v>91</v>
      </c>
      <c r="F4" t="s">
        <v>118</v>
      </c>
      <c r="G4" t="s">
        <v>93</v>
      </c>
      <c r="H4" t="s">
        <v>93</v>
      </c>
      <c r="I4" t="s">
        <v>94</v>
      </c>
      <c r="J4" s="6">
        <v>961</v>
      </c>
      <c r="K4" t="s">
        <v>119</v>
      </c>
      <c r="L4" t="s">
        <v>95</v>
      </c>
      <c r="M4" t="s">
        <v>120</v>
      </c>
      <c r="N4" s="8">
        <v>44869</v>
      </c>
      <c r="O4" t="s">
        <v>97</v>
      </c>
      <c r="P4" t="s">
        <v>121</v>
      </c>
      <c r="R4" t="s">
        <v>99</v>
      </c>
      <c r="T4" t="s">
        <v>100</v>
      </c>
      <c r="U4" t="s">
        <v>115</v>
      </c>
      <c r="W4" t="s">
        <v>115</v>
      </c>
      <c r="X4" t="s">
        <v>95</v>
      </c>
      <c r="Y4" t="s">
        <v>102</v>
      </c>
      <c r="Z4" t="s">
        <v>103</v>
      </c>
      <c r="AB4" t="s">
        <v>102</v>
      </c>
      <c r="AC4" t="s">
        <v>102</v>
      </c>
      <c r="AD4" t="s">
        <v>103</v>
      </c>
      <c r="AI4" t="s">
        <v>104</v>
      </c>
      <c r="AK4" t="s">
        <v>95</v>
      </c>
      <c r="AL4" t="s">
        <v>102</v>
      </c>
      <c r="AM4" t="s">
        <v>105</v>
      </c>
      <c r="AN4" t="s">
        <v>102</v>
      </c>
      <c r="AP4" t="s">
        <v>95</v>
      </c>
      <c r="AZ4" t="s">
        <v>95</v>
      </c>
      <c r="BA4" t="s">
        <v>102</v>
      </c>
      <c r="BB4" t="s">
        <v>102</v>
      </c>
      <c r="BC4" t="s">
        <v>122</v>
      </c>
      <c r="BD4" t="s">
        <v>108</v>
      </c>
      <c r="BK4" t="s">
        <v>95</v>
      </c>
    </row>
    <row r="5" spans="1:135" x14ac:dyDescent="0.25">
      <c r="A5" t="s">
        <v>123</v>
      </c>
      <c r="B5" s="6">
        <v>9382403807</v>
      </c>
      <c r="C5" s="7">
        <v>46031.680555555598</v>
      </c>
      <c r="D5" t="s">
        <v>111</v>
      </c>
      <c r="F5" t="s">
        <v>124</v>
      </c>
      <c r="G5" t="s">
        <v>93</v>
      </c>
      <c r="H5" t="s">
        <v>93</v>
      </c>
      <c r="I5" t="s">
        <v>94</v>
      </c>
      <c r="J5" s="6">
        <v>961</v>
      </c>
      <c r="K5" t="s">
        <v>123</v>
      </c>
      <c r="L5" t="s">
        <v>102</v>
      </c>
      <c r="M5" t="s">
        <v>120</v>
      </c>
      <c r="N5" s="8">
        <v>45408</v>
      </c>
      <c r="O5" t="s">
        <v>97</v>
      </c>
      <c r="P5" t="s">
        <v>121</v>
      </c>
      <c r="R5" t="s">
        <v>114</v>
      </c>
      <c r="T5" t="s">
        <v>100</v>
      </c>
      <c r="U5" t="s">
        <v>115</v>
      </c>
      <c r="W5" t="s">
        <v>115</v>
      </c>
      <c r="X5" t="s">
        <v>95</v>
      </c>
      <c r="Y5" t="s">
        <v>102</v>
      </c>
      <c r="Z5" t="s">
        <v>103</v>
      </c>
      <c r="AB5" t="s">
        <v>102</v>
      </c>
      <c r="AC5" t="s">
        <v>102</v>
      </c>
      <c r="AD5" t="s">
        <v>103</v>
      </c>
      <c r="AI5" t="s">
        <v>104</v>
      </c>
      <c r="AK5" t="s">
        <v>95</v>
      </c>
      <c r="AL5" t="s">
        <v>102</v>
      </c>
      <c r="AM5" t="s">
        <v>105</v>
      </c>
      <c r="AN5" t="s">
        <v>102</v>
      </c>
      <c r="AP5" t="s">
        <v>95</v>
      </c>
      <c r="AZ5" t="s">
        <v>95</v>
      </c>
      <c r="BA5" t="s">
        <v>102</v>
      </c>
      <c r="BB5" t="s">
        <v>102</v>
      </c>
      <c r="BC5" t="s">
        <v>107</v>
      </c>
      <c r="BD5" t="s">
        <v>108</v>
      </c>
      <c r="BK5" t="s">
        <v>95</v>
      </c>
    </row>
    <row r="6" spans="1:135" x14ac:dyDescent="0.25">
      <c r="A6" t="s">
        <v>125</v>
      </c>
      <c r="B6" s="6">
        <v>9382296458</v>
      </c>
      <c r="C6" s="7">
        <v>46031.6784722222</v>
      </c>
      <c r="D6" t="s">
        <v>111</v>
      </c>
      <c r="F6" t="s">
        <v>118</v>
      </c>
      <c r="G6" t="s">
        <v>93</v>
      </c>
      <c r="H6" t="s">
        <v>93</v>
      </c>
      <c r="I6" t="s">
        <v>94</v>
      </c>
      <c r="J6" s="6">
        <v>961</v>
      </c>
      <c r="K6" t="s">
        <v>125</v>
      </c>
      <c r="L6" t="s">
        <v>102</v>
      </c>
      <c r="M6" t="s">
        <v>126</v>
      </c>
      <c r="N6" s="8">
        <v>45260</v>
      </c>
      <c r="O6" t="s">
        <v>97</v>
      </c>
      <c r="P6" t="s">
        <v>98</v>
      </c>
      <c r="R6" t="s">
        <v>114</v>
      </c>
      <c r="T6" t="s">
        <v>100</v>
      </c>
      <c r="U6" t="s">
        <v>115</v>
      </c>
      <c r="W6" t="s">
        <v>115</v>
      </c>
      <c r="X6" t="s">
        <v>95</v>
      </c>
      <c r="Y6" t="s">
        <v>102</v>
      </c>
      <c r="Z6" t="s">
        <v>103</v>
      </c>
      <c r="AB6" t="s">
        <v>102</v>
      </c>
      <c r="AC6" t="s">
        <v>102</v>
      </c>
      <c r="AD6" t="s">
        <v>103</v>
      </c>
      <c r="AI6" t="s">
        <v>104</v>
      </c>
      <c r="AK6" t="s">
        <v>95</v>
      </c>
      <c r="AL6" t="s">
        <v>102</v>
      </c>
      <c r="AM6" t="s">
        <v>105</v>
      </c>
      <c r="AN6" t="s">
        <v>102</v>
      </c>
      <c r="AP6" t="s">
        <v>95</v>
      </c>
      <c r="AW6" s="9"/>
      <c r="AZ6" t="s">
        <v>95</v>
      </c>
      <c r="BA6" t="s">
        <v>102</v>
      </c>
      <c r="BB6" t="s">
        <v>102</v>
      </c>
      <c r="BC6" t="s">
        <v>116</v>
      </c>
      <c r="BD6" t="s">
        <v>108</v>
      </c>
      <c r="BK6" t="s">
        <v>95</v>
      </c>
      <c r="BL6" t="s">
        <v>109</v>
      </c>
      <c r="CO6" s="9"/>
    </row>
    <row r="7" spans="1:135" x14ac:dyDescent="0.25">
      <c r="A7" t="s">
        <v>127</v>
      </c>
      <c r="B7" s="6">
        <v>9381521690</v>
      </c>
      <c r="C7" s="7">
        <v>46031.675000000003</v>
      </c>
      <c r="D7" t="s">
        <v>111</v>
      </c>
      <c r="F7" t="s">
        <v>118</v>
      </c>
      <c r="G7" t="s">
        <v>93</v>
      </c>
      <c r="H7" t="s">
        <v>93</v>
      </c>
      <c r="I7" t="s">
        <v>94</v>
      </c>
      <c r="J7" s="6">
        <v>956</v>
      </c>
      <c r="K7" t="s">
        <v>127</v>
      </c>
      <c r="L7" t="s">
        <v>102</v>
      </c>
      <c r="M7" t="s">
        <v>120</v>
      </c>
      <c r="N7" s="8">
        <v>44149</v>
      </c>
      <c r="O7" t="s">
        <v>97</v>
      </c>
      <c r="P7" t="s">
        <v>128</v>
      </c>
      <c r="R7" t="s">
        <v>114</v>
      </c>
      <c r="T7" t="s">
        <v>100</v>
      </c>
      <c r="U7" t="s">
        <v>115</v>
      </c>
      <c r="W7" t="s">
        <v>115</v>
      </c>
      <c r="X7" t="s">
        <v>95</v>
      </c>
      <c r="Y7" t="s">
        <v>102</v>
      </c>
      <c r="Z7" t="s">
        <v>103</v>
      </c>
      <c r="AA7" t="s">
        <v>102</v>
      </c>
      <c r="AB7" t="s">
        <v>95</v>
      </c>
      <c r="AC7" t="s">
        <v>95</v>
      </c>
      <c r="AD7" t="s">
        <v>103</v>
      </c>
      <c r="AI7" t="s">
        <v>129</v>
      </c>
      <c r="AK7" t="s">
        <v>95</v>
      </c>
      <c r="AL7" t="s">
        <v>95</v>
      </c>
      <c r="AO7" t="s">
        <v>130</v>
      </c>
      <c r="AP7" t="s">
        <v>95</v>
      </c>
      <c r="AU7" t="s">
        <v>130</v>
      </c>
      <c r="AZ7" t="s">
        <v>95</v>
      </c>
      <c r="BA7" t="s">
        <v>102</v>
      </c>
      <c r="BB7" t="s">
        <v>102</v>
      </c>
      <c r="BC7" t="s">
        <v>122</v>
      </c>
      <c r="BD7" t="s">
        <v>131</v>
      </c>
      <c r="BK7" t="s">
        <v>95</v>
      </c>
    </row>
    <row r="8" spans="1:135" x14ac:dyDescent="0.25">
      <c r="A8" t="s">
        <v>132</v>
      </c>
      <c r="B8" s="6">
        <v>9381818880</v>
      </c>
      <c r="C8" s="7">
        <v>46031.600694444402</v>
      </c>
      <c r="D8" t="s">
        <v>111</v>
      </c>
      <c r="F8" t="s">
        <v>92</v>
      </c>
      <c r="G8" t="s">
        <v>133</v>
      </c>
      <c r="H8" t="s">
        <v>133</v>
      </c>
      <c r="I8" t="s">
        <v>94</v>
      </c>
      <c r="J8" s="6">
        <v>969</v>
      </c>
      <c r="K8" t="s">
        <v>132</v>
      </c>
      <c r="L8" t="s">
        <v>102</v>
      </c>
      <c r="M8" t="s">
        <v>126</v>
      </c>
      <c r="N8" s="8">
        <v>44615</v>
      </c>
      <c r="O8" t="s">
        <v>97</v>
      </c>
      <c r="P8" t="s">
        <v>134</v>
      </c>
      <c r="R8" t="s">
        <v>135</v>
      </c>
      <c r="T8" t="s">
        <v>100</v>
      </c>
      <c r="U8" t="s">
        <v>101</v>
      </c>
      <c r="V8" t="s">
        <v>102</v>
      </c>
      <c r="W8" t="s">
        <v>101</v>
      </c>
      <c r="X8" t="s">
        <v>102</v>
      </c>
      <c r="Y8" t="s">
        <v>102</v>
      </c>
      <c r="Z8" t="s">
        <v>103</v>
      </c>
      <c r="AB8" t="s">
        <v>102</v>
      </c>
      <c r="AC8" t="s">
        <v>102</v>
      </c>
      <c r="AD8" t="s">
        <v>103</v>
      </c>
      <c r="AI8" t="s">
        <v>104</v>
      </c>
      <c r="AK8" t="s">
        <v>102</v>
      </c>
      <c r="AL8" t="s">
        <v>102</v>
      </c>
      <c r="AM8" t="s">
        <v>105</v>
      </c>
      <c r="AN8" t="s">
        <v>102</v>
      </c>
      <c r="AP8" t="s">
        <v>95</v>
      </c>
      <c r="AQ8" t="s">
        <v>102</v>
      </c>
      <c r="AZ8" t="s">
        <v>95</v>
      </c>
      <c r="BA8" t="s">
        <v>102</v>
      </c>
      <c r="BB8" t="s">
        <v>102</v>
      </c>
      <c r="BC8" t="s">
        <v>107</v>
      </c>
      <c r="BD8" t="s">
        <v>108</v>
      </c>
      <c r="BK8" t="s">
        <v>95</v>
      </c>
    </row>
    <row r="9" spans="1:135" x14ac:dyDescent="0.25">
      <c r="A9" t="s">
        <v>136</v>
      </c>
      <c r="B9" s="6">
        <v>9380596206</v>
      </c>
      <c r="C9" s="7">
        <v>46031.6</v>
      </c>
      <c r="D9" t="s">
        <v>111</v>
      </c>
      <c r="F9" t="s">
        <v>137</v>
      </c>
      <c r="G9" t="s">
        <v>133</v>
      </c>
      <c r="H9" t="s">
        <v>133</v>
      </c>
      <c r="I9" t="s">
        <v>94</v>
      </c>
      <c r="J9" s="6">
        <v>969</v>
      </c>
      <c r="K9" t="s">
        <v>136</v>
      </c>
      <c r="L9" t="s">
        <v>102</v>
      </c>
      <c r="M9" t="s">
        <v>96</v>
      </c>
      <c r="N9" s="8">
        <v>43162</v>
      </c>
      <c r="O9" t="s">
        <v>97</v>
      </c>
      <c r="P9" t="s">
        <v>138</v>
      </c>
      <c r="R9" t="s">
        <v>135</v>
      </c>
      <c r="T9" t="s">
        <v>100</v>
      </c>
      <c r="U9" t="s">
        <v>139</v>
      </c>
      <c r="W9" t="s">
        <v>139</v>
      </c>
      <c r="X9" t="s">
        <v>102</v>
      </c>
      <c r="Y9" t="s">
        <v>102</v>
      </c>
      <c r="Z9" t="s">
        <v>103</v>
      </c>
      <c r="AB9" t="s">
        <v>102</v>
      </c>
      <c r="AC9" t="s">
        <v>102</v>
      </c>
      <c r="AD9" t="s">
        <v>103</v>
      </c>
      <c r="AI9" t="s">
        <v>104</v>
      </c>
      <c r="AK9" t="s">
        <v>102</v>
      </c>
      <c r="AL9" t="s">
        <v>102</v>
      </c>
      <c r="AM9" t="s">
        <v>105</v>
      </c>
      <c r="AN9" t="s">
        <v>102</v>
      </c>
      <c r="AP9" t="s">
        <v>95</v>
      </c>
      <c r="AQ9" t="s">
        <v>102</v>
      </c>
      <c r="AR9" t="s">
        <v>102</v>
      </c>
      <c r="AS9" t="s">
        <v>106</v>
      </c>
      <c r="AT9" t="s">
        <v>95</v>
      </c>
      <c r="AZ9" t="s">
        <v>95</v>
      </c>
      <c r="BA9" t="s">
        <v>102</v>
      </c>
      <c r="BB9" t="s">
        <v>102</v>
      </c>
      <c r="BC9" t="s">
        <v>116</v>
      </c>
      <c r="BD9" t="s">
        <v>108</v>
      </c>
      <c r="BK9" t="s">
        <v>95</v>
      </c>
    </row>
    <row r="10" spans="1:135" x14ac:dyDescent="0.25">
      <c r="A10" t="s">
        <v>140</v>
      </c>
      <c r="B10" s="6">
        <v>9383141349</v>
      </c>
      <c r="C10" s="7">
        <v>46031.599305555603</v>
      </c>
      <c r="D10" t="s">
        <v>141</v>
      </c>
      <c r="F10" t="s">
        <v>142</v>
      </c>
      <c r="G10" t="s">
        <v>133</v>
      </c>
      <c r="H10" t="s">
        <v>133</v>
      </c>
      <c r="I10" t="s">
        <v>94</v>
      </c>
      <c r="J10" s="6">
        <v>969</v>
      </c>
      <c r="K10" t="s">
        <v>143</v>
      </c>
      <c r="L10" t="s">
        <v>95</v>
      </c>
      <c r="M10" t="s">
        <v>120</v>
      </c>
      <c r="N10" s="8">
        <v>45972</v>
      </c>
      <c r="O10" t="s">
        <v>97</v>
      </c>
      <c r="P10" t="s">
        <v>134</v>
      </c>
      <c r="R10" t="s">
        <v>144</v>
      </c>
      <c r="T10" t="s">
        <v>100</v>
      </c>
      <c r="U10" t="s">
        <v>115</v>
      </c>
      <c r="W10" t="s">
        <v>115</v>
      </c>
      <c r="X10" t="s">
        <v>95</v>
      </c>
      <c r="Y10" t="s">
        <v>102</v>
      </c>
      <c r="Z10" t="s">
        <v>103</v>
      </c>
      <c r="AB10" t="s">
        <v>102</v>
      </c>
      <c r="AC10" t="s">
        <v>102</v>
      </c>
      <c r="AD10" t="s">
        <v>103</v>
      </c>
      <c r="AI10" t="s">
        <v>104</v>
      </c>
      <c r="AK10" t="s">
        <v>95</v>
      </c>
      <c r="AL10" t="s">
        <v>102</v>
      </c>
      <c r="AM10" t="s">
        <v>105</v>
      </c>
      <c r="AN10" t="s">
        <v>102</v>
      </c>
      <c r="AP10" t="s">
        <v>95</v>
      </c>
      <c r="AZ10" t="s">
        <v>95</v>
      </c>
      <c r="BA10" t="s">
        <v>102</v>
      </c>
      <c r="BB10" t="s">
        <v>102</v>
      </c>
      <c r="BC10" t="s">
        <v>122</v>
      </c>
      <c r="BD10" t="s">
        <v>108</v>
      </c>
      <c r="BK10" t="s">
        <v>95</v>
      </c>
    </row>
    <row r="11" spans="1:135" x14ac:dyDescent="0.25">
      <c r="A11" t="s">
        <v>145</v>
      </c>
      <c r="B11" s="6">
        <v>9380891169</v>
      </c>
      <c r="C11" s="7">
        <v>46031.598611111098</v>
      </c>
      <c r="D11" t="s">
        <v>111</v>
      </c>
      <c r="F11" t="s">
        <v>92</v>
      </c>
      <c r="G11" t="s">
        <v>133</v>
      </c>
      <c r="H11" t="s">
        <v>133</v>
      </c>
      <c r="I11" t="s">
        <v>94</v>
      </c>
      <c r="J11" s="6">
        <v>971</v>
      </c>
      <c r="K11" t="s">
        <v>146</v>
      </c>
      <c r="L11" t="s">
        <v>102</v>
      </c>
      <c r="M11" t="s">
        <v>96</v>
      </c>
      <c r="N11" s="8">
        <v>43656</v>
      </c>
      <c r="O11" t="s">
        <v>97</v>
      </c>
      <c r="P11" t="s">
        <v>147</v>
      </c>
      <c r="R11" t="s">
        <v>135</v>
      </c>
      <c r="T11" t="s">
        <v>100</v>
      </c>
      <c r="U11" t="s">
        <v>115</v>
      </c>
      <c r="W11" t="s">
        <v>115</v>
      </c>
      <c r="X11" t="s">
        <v>95</v>
      </c>
      <c r="Y11" t="s">
        <v>102</v>
      </c>
      <c r="Z11" t="s">
        <v>103</v>
      </c>
      <c r="AB11" t="s">
        <v>102</v>
      </c>
      <c r="AC11" t="s">
        <v>102</v>
      </c>
      <c r="AD11" t="s">
        <v>103</v>
      </c>
      <c r="AI11" t="s">
        <v>104</v>
      </c>
      <c r="AK11" t="s">
        <v>95</v>
      </c>
      <c r="AL11" t="s">
        <v>102</v>
      </c>
      <c r="AM11" t="s">
        <v>105</v>
      </c>
      <c r="AN11" t="s">
        <v>102</v>
      </c>
      <c r="AP11" t="s">
        <v>95</v>
      </c>
      <c r="AZ11" t="s">
        <v>95</v>
      </c>
      <c r="BA11" t="s">
        <v>102</v>
      </c>
      <c r="BB11" t="s">
        <v>102</v>
      </c>
      <c r="BC11" t="s">
        <v>107</v>
      </c>
      <c r="BD11" t="s">
        <v>108</v>
      </c>
      <c r="BK11" t="s">
        <v>95</v>
      </c>
    </row>
    <row r="12" spans="1:135" x14ac:dyDescent="0.25">
      <c r="AT12" s="6"/>
      <c r="AU12" s="7"/>
      <c r="BB12" s="6"/>
      <c r="BF12" s="8"/>
    </row>
  </sheetData>
  <conditionalFormatting sqref="B2:B11">
    <cfRule type="duplicateValues" dxfId="18" priority="1"/>
    <cfRule type="duplicateValues" dxfId="17" priority="2"/>
    <cfRule type="duplicateValues" dxfId="16" priority="3"/>
    <cfRule type="duplicateValues" dxfId="15" priority="4"/>
    <cfRule type="duplicateValues" dxfId="14" priority="5"/>
  </conditionalFormatting>
  <conditionalFormatting sqref="AT12">
    <cfRule type="duplicateValues" dxfId="13" priority="13"/>
    <cfRule type="duplicateValues" dxfId="12" priority="14"/>
    <cfRule type="duplicateValues" dxfId="11" priority="15"/>
    <cfRule type="duplicateValues" dxfId="10" priority="16"/>
    <cfRule type="duplicateValues" dxfId="9" priority="17"/>
  </conditionalFormatting>
  <conditionalFormatting sqref="CG2:CM11 CL1:CM1">
    <cfRule type="duplicateValues" dxfId="8" priority="6"/>
  </conditionalFormatting>
  <conditionalFormatting sqref="DY2:EE11 ED1:EE1">
    <cfRule type="duplicateValues" dxfId="7" priority="1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B6ED-66A4-4CF9-8C9D-FD7E28EC465D}">
  <dimension ref="A1:A89"/>
  <sheetViews>
    <sheetView workbookViewId="0">
      <selection activeCell="A29" sqref="A29"/>
    </sheetView>
  </sheetViews>
  <sheetFormatPr defaultRowHeight="15" x14ac:dyDescent="0.25"/>
  <cols>
    <col min="1" max="1" width="37.14062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2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3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6F14-41E8-4905-A9BC-4B910AD4B182}">
  <dimension ref="A1:DC115"/>
  <sheetViews>
    <sheetView topLeftCell="AO1" workbookViewId="0">
      <selection activeCell="AW6" sqref="AW6"/>
    </sheetView>
  </sheetViews>
  <sheetFormatPr defaultRowHeight="15" x14ac:dyDescent="0.25"/>
  <cols>
    <col min="1" max="1" width="24.140625" bestFit="1" customWidth="1"/>
    <col min="2" max="2" width="20.140625" bestFit="1" customWidth="1"/>
    <col min="3" max="3" width="12" bestFit="1" customWidth="1"/>
    <col min="4" max="4" width="14.7109375" bestFit="1" customWidth="1"/>
    <col min="5" max="5" width="13.85546875" bestFit="1" customWidth="1"/>
    <col min="6" max="6" width="16.5703125" bestFit="1" customWidth="1"/>
    <col min="7" max="7" width="24.85546875" bestFit="1" customWidth="1"/>
    <col min="8" max="8" width="54.7109375" bestFit="1" customWidth="1"/>
    <col min="9" max="9" width="10" bestFit="1" customWidth="1"/>
    <col min="10" max="10" width="13.85546875" bestFit="1" customWidth="1"/>
    <col min="11" max="11" width="15.7109375" bestFit="1" customWidth="1"/>
    <col min="12" max="12" width="19.42578125" bestFit="1" customWidth="1"/>
    <col min="13" max="13" width="14.42578125" bestFit="1" customWidth="1"/>
    <col min="14" max="14" width="8.42578125" bestFit="1" customWidth="1"/>
    <col min="15" max="15" width="10.42578125" bestFit="1" customWidth="1"/>
    <col min="16" max="16" width="15.85546875" bestFit="1" customWidth="1"/>
    <col min="17" max="17" width="22.5703125" bestFit="1" customWidth="1"/>
    <col min="18" max="18" width="21" bestFit="1" customWidth="1"/>
    <col min="19" max="19" width="7.42578125" bestFit="1" customWidth="1"/>
    <col min="20" max="20" width="33" bestFit="1" customWidth="1"/>
    <col min="21" max="21" width="18.85546875" bestFit="1" customWidth="1"/>
    <col min="22" max="22" width="29.28515625" bestFit="1" customWidth="1"/>
    <col min="23" max="23" width="34.85546875" bestFit="1" customWidth="1"/>
    <col min="24" max="24" width="28.7109375" bestFit="1" customWidth="1"/>
    <col min="25" max="25" width="33.42578125" bestFit="1" customWidth="1"/>
    <col min="26" max="26" width="38.28515625" bestFit="1" customWidth="1"/>
    <col min="27" max="27" width="12.85546875" bestFit="1" customWidth="1"/>
    <col min="28" max="28" width="30.28515625" bestFit="1" customWidth="1"/>
    <col min="29" max="29" width="17.85546875" bestFit="1" customWidth="1"/>
    <col min="30" max="30" width="20.7109375" bestFit="1" customWidth="1"/>
    <col min="31" max="31" width="24" bestFit="1" customWidth="1"/>
    <col min="32" max="32" width="19.28515625" bestFit="1" customWidth="1"/>
    <col min="33" max="33" width="24.28515625" bestFit="1" customWidth="1"/>
    <col min="34" max="34" width="37.42578125" bestFit="1" customWidth="1"/>
    <col min="35" max="35" width="34" bestFit="1" customWidth="1"/>
    <col min="36" max="36" width="18" bestFit="1" customWidth="1"/>
    <col min="37" max="37" width="26.42578125" bestFit="1" customWidth="1"/>
    <col min="38" max="38" width="26.28515625" bestFit="1" customWidth="1"/>
    <col min="39" max="39" width="20" bestFit="1" customWidth="1"/>
    <col min="40" max="40" width="11.85546875" bestFit="1" customWidth="1"/>
    <col min="41" max="41" width="26" bestFit="1" customWidth="1"/>
    <col min="42" max="42" width="18.7109375" bestFit="1" customWidth="1"/>
    <col min="43" max="43" width="20.5703125" bestFit="1" customWidth="1"/>
    <col min="44" max="44" width="19" bestFit="1" customWidth="1"/>
    <col min="45" max="45" width="12.5703125" bestFit="1" customWidth="1"/>
    <col min="46" max="46" width="20.140625" bestFit="1" customWidth="1"/>
    <col min="47" max="47" width="16.140625" bestFit="1" customWidth="1"/>
    <col min="48" max="48" width="15.85546875" bestFit="1" customWidth="1"/>
    <col min="49" max="49" width="23.28515625" bestFit="1" customWidth="1"/>
    <col min="50" max="50" width="13" bestFit="1" customWidth="1"/>
    <col min="51" max="51" width="11.7109375" bestFit="1" customWidth="1"/>
    <col min="52" max="52" width="13" bestFit="1" customWidth="1"/>
    <col min="53" max="53" width="17.5703125" bestFit="1" customWidth="1"/>
    <col min="54" max="54" width="24" bestFit="1" customWidth="1"/>
    <col min="55" max="55" width="16.5703125" bestFit="1" customWidth="1"/>
    <col min="56" max="56" width="39.85546875" bestFit="1" customWidth="1"/>
    <col min="57" max="57" width="18.140625" bestFit="1" customWidth="1"/>
    <col min="58" max="58" width="17.140625" bestFit="1" customWidth="1"/>
    <col min="59" max="59" width="22.5703125" bestFit="1" customWidth="1"/>
    <col min="60" max="60" width="26.140625" bestFit="1" customWidth="1"/>
    <col min="61" max="61" width="14.42578125" bestFit="1" customWidth="1"/>
    <col min="62" max="62" width="22.140625" bestFit="1" customWidth="1"/>
    <col min="63" max="63" width="17.42578125" bestFit="1" customWidth="1"/>
    <col min="64" max="64" width="30" bestFit="1" customWidth="1"/>
    <col min="65" max="65" width="37.85546875" bestFit="1" customWidth="1"/>
    <col min="66" max="66" width="29.5703125" bestFit="1" customWidth="1"/>
    <col min="67" max="67" width="29.140625" bestFit="1" customWidth="1"/>
    <col min="68" max="68" width="34.85546875" bestFit="1" customWidth="1"/>
    <col min="69" max="69" width="32.140625" bestFit="1" customWidth="1"/>
    <col min="70" max="70" width="33.42578125" bestFit="1" customWidth="1"/>
    <col min="71" max="71" width="37.85546875" bestFit="1" customWidth="1"/>
    <col min="72" max="72" width="39" bestFit="1" customWidth="1"/>
    <col min="73" max="73" width="45.28515625" bestFit="1" customWidth="1"/>
    <col min="74" max="74" width="33.5703125" bestFit="1" customWidth="1"/>
    <col min="75" max="75" width="31.7109375" bestFit="1" customWidth="1"/>
    <col min="76" max="76" width="35.28515625" bestFit="1" customWidth="1"/>
    <col min="77" max="77" width="24.140625" bestFit="1" customWidth="1"/>
    <col min="78" max="78" width="96.42578125" bestFit="1" customWidth="1"/>
    <col min="79" max="79" width="29" bestFit="1" customWidth="1"/>
    <col min="80" max="80" width="28.85546875" bestFit="1" customWidth="1"/>
    <col min="81" max="81" width="24" bestFit="1" customWidth="1"/>
    <col min="82" max="82" width="26.5703125" bestFit="1" customWidth="1"/>
    <col min="83" max="83" width="54.7109375" bestFit="1" customWidth="1"/>
    <col min="84" max="84" width="34.28515625" bestFit="1" customWidth="1"/>
    <col min="85" max="85" width="36.42578125" bestFit="1" customWidth="1"/>
    <col min="86" max="86" width="26.28515625" bestFit="1" customWidth="1"/>
    <col min="87" max="87" width="35.140625" bestFit="1" customWidth="1"/>
    <col min="88" max="88" width="29.28515625" bestFit="1" customWidth="1"/>
    <col min="89" max="89" width="24.28515625" bestFit="1" customWidth="1"/>
    <col min="90" max="90" width="27.5703125" bestFit="1" customWidth="1"/>
    <col min="91" max="91" width="36.85546875" bestFit="1" customWidth="1"/>
    <col min="92" max="92" width="36.7109375" bestFit="1" customWidth="1"/>
    <col min="93" max="93" width="24" bestFit="1" customWidth="1"/>
    <col min="94" max="94" width="28.7109375" bestFit="1" customWidth="1"/>
    <col min="95" max="95" width="38.28515625" bestFit="1" customWidth="1"/>
    <col min="96" max="96" width="30.5703125" bestFit="1" customWidth="1"/>
    <col min="97" max="97" width="34.85546875" bestFit="1" customWidth="1"/>
    <col min="98" max="98" width="37.5703125" bestFit="1" customWidth="1"/>
    <col min="99" max="99" width="20.140625" bestFit="1" customWidth="1"/>
    <col min="100" max="100" width="25.140625" bestFit="1" customWidth="1"/>
    <col min="101" max="101" width="48.28515625" bestFit="1" customWidth="1"/>
    <col min="102" max="102" width="49.5703125" bestFit="1" customWidth="1"/>
    <col min="103" max="103" width="24.42578125" bestFit="1" customWidth="1"/>
    <col min="104" max="104" width="20.140625" bestFit="1" customWidth="1"/>
    <col min="105" max="105" width="11.85546875" bestFit="1" customWidth="1"/>
    <col min="106" max="106" width="19.5703125" bestFit="1" customWidth="1"/>
  </cols>
  <sheetData>
    <row r="1" spans="1:107" x14ac:dyDescent="0.25">
      <c r="A1" t="s">
        <v>148</v>
      </c>
      <c r="B1" t="s">
        <v>0</v>
      </c>
      <c r="C1" t="s">
        <v>1</v>
      </c>
      <c r="D1" t="s">
        <v>7</v>
      </c>
      <c r="E1" t="s">
        <v>8</v>
      </c>
      <c r="F1" t="s">
        <v>9</v>
      </c>
      <c r="G1" t="s">
        <v>17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  <c r="AC1" t="s">
        <v>170</v>
      </c>
      <c r="AD1" t="s">
        <v>171</v>
      </c>
      <c r="AE1" t="s">
        <v>172</v>
      </c>
      <c r="AF1" t="s">
        <v>173</v>
      </c>
      <c r="AG1" t="s">
        <v>174</v>
      </c>
      <c r="AH1" t="s">
        <v>175</v>
      </c>
      <c r="AI1" t="s">
        <v>176</v>
      </c>
      <c r="AJ1" t="s">
        <v>177</v>
      </c>
      <c r="AK1" t="s">
        <v>178</v>
      </c>
      <c r="AL1" t="s">
        <v>179</v>
      </c>
      <c r="AM1" t="s">
        <v>180</v>
      </c>
      <c r="AN1" t="s">
        <v>181</v>
      </c>
      <c r="AO1" t="s">
        <v>182</v>
      </c>
      <c r="AP1" t="s">
        <v>183</v>
      </c>
      <c r="AQ1" t="s">
        <v>184</v>
      </c>
      <c r="AR1" t="s">
        <v>185</v>
      </c>
      <c r="AS1" t="s">
        <v>186</v>
      </c>
      <c r="AT1" t="s">
        <v>187</v>
      </c>
      <c r="AU1" t="s">
        <v>188</v>
      </c>
      <c r="AV1" t="s">
        <v>189</v>
      </c>
      <c r="AW1" t="s">
        <v>190</v>
      </c>
      <c r="AX1" t="s">
        <v>191</v>
      </c>
      <c r="AY1" t="s">
        <v>192</v>
      </c>
      <c r="AZ1" t="s">
        <v>193</v>
      </c>
      <c r="BA1" t="s">
        <v>194</v>
      </c>
      <c r="BB1" t="s">
        <v>195</v>
      </c>
      <c r="BC1" t="s">
        <v>196</v>
      </c>
      <c r="BD1" t="s">
        <v>197</v>
      </c>
      <c r="BE1" t="s">
        <v>180</v>
      </c>
      <c r="BF1" t="s">
        <v>198</v>
      </c>
      <c r="BG1" t="s">
        <v>199</v>
      </c>
      <c r="BH1" t="s">
        <v>200</v>
      </c>
      <c r="BI1" t="s">
        <v>201</v>
      </c>
      <c r="BJ1" t="s">
        <v>202</v>
      </c>
      <c r="BK1" t="s">
        <v>203</v>
      </c>
      <c r="BL1" t="s">
        <v>204</v>
      </c>
      <c r="BM1" t="s">
        <v>205</v>
      </c>
      <c r="BN1" t="s">
        <v>206</v>
      </c>
      <c r="BO1" t="s">
        <v>207</v>
      </c>
      <c r="BP1" t="s">
        <v>208</v>
      </c>
      <c r="BQ1" t="s">
        <v>209</v>
      </c>
      <c r="BR1" t="s">
        <v>210</v>
      </c>
      <c r="BS1" t="s">
        <v>211</v>
      </c>
      <c r="BT1" t="s">
        <v>212</v>
      </c>
      <c r="BU1" t="s">
        <v>213</v>
      </c>
      <c r="BV1" t="s">
        <v>214</v>
      </c>
      <c r="BW1" t="s">
        <v>215</v>
      </c>
      <c r="BX1" t="s">
        <v>216</v>
      </c>
      <c r="BY1" t="s">
        <v>217</v>
      </c>
      <c r="BZ1" t="s">
        <v>218</v>
      </c>
      <c r="CA1" t="s">
        <v>219</v>
      </c>
      <c r="CB1" t="s">
        <v>220</v>
      </c>
      <c r="CC1" t="s">
        <v>221</v>
      </c>
      <c r="CD1" t="s">
        <v>222</v>
      </c>
      <c r="CE1" t="s">
        <v>223</v>
      </c>
      <c r="CF1" t="s">
        <v>224</v>
      </c>
      <c r="CG1" t="s">
        <v>225</v>
      </c>
      <c r="CH1" t="s">
        <v>226</v>
      </c>
      <c r="CI1" t="s">
        <v>227</v>
      </c>
      <c r="CJ1" t="s">
        <v>228</v>
      </c>
      <c r="CK1" t="s">
        <v>229</v>
      </c>
      <c r="CL1" t="s">
        <v>230</v>
      </c>
      <c r="CM1" t="s">
        <v>231</v>
      </c>
      <c r="CN1" t="s">
        <v>232</v>
      </c>
      <c r="CO1" t="s">
        <v>233</v>
      </c>
      <c r="CP1" t="s">
        <v>234</v>
      </c>
      <c r="CQ1" t="s">
        <v>235</v>
      </c>
      <c r="CR1" t="s">
        <v>236</v>
      </c>
      <c r="CS1" t="s">
        <v>237</v>
      </c>
      <c r="CT1" t="s">
        <v>238</v>
      </c>
      <c r="CU1" t="s">
        <v>239</v>
      </c>
      <c r="CV1" t="s">
        <v>240</v>
      </c>
      <c r="CW1" t="s">
        <v>241</v>
      </c>
      <c r="CX1" t="s">
        <v>242</v>
      </c>
      <c r="CY1" t="s">
        <v>243</v>
      </c>
      <c r="CZ1" t="s">
        <v>19</v>
      </c>
      <c r="DA1" t="s">
        <v>89</v>
      </c>
      <c r="DB1" t="s">
        <v>244</v>
      </c>
    </row>
    <row r="2" spans="1:107" x14ac:dyDescent="0.25">
      <c r="A2">
        <v>91</v>
      </c>
      <c r="B2" t="s">
        <v>245</v>
      </c>
      <c r="C2">
        <v>9382388446</v>
      </c>
      <c r="D2" t="s">
        <v>246</v>
      </c>
      <c r="F2" s="14" t="s">
        <v>247</v>
      </c>
      <c r="G2" t="s">
        <v>248</v>
      </c>
      <c r="H2" t="s">
        <v>245</v>
      </c>
      <c r="I2" t="s">
        <v>249</v>
      </c>
      <c r="J2" t="s">
        <v>250</v>
      </c>
      <c r="K2" t="s">
        <v>251</v>
      </c>
      <c r="L2" t="s">
        <v>252</v>
      </c>
      <c r="M2" t="s">
        <v>99</v>
      </c>
      <c r="N2" t="s">
        <v>253</v>
      </c>
      <c r="O2">
        <v>5812</v>
      </c>
      <c r="P2" t="s">
        <v>254</v>
      </c>
      <c r="Q2">
        <v>9380500950</v>
      </c>
      <c r="R2" t="s">
        <v>255</v>
      </c>
      <c r="S2">
        <v>3511</v>
      </c>
      <c r="T2" t="s">
        <v>120</v>
      </c>
      <c r="U2">
        <v>9382388446</v>
      </c>
      <c r="V2">
        <v>10</v>
      </c>
      <c r="W2" t="s">
        <v>134</v>
      </c>
      <c r="X2" t="s">
        <v>118</v>
      </c>
      <c r="Y2" t="s">
        <v>91</v>
      </c>
      <c r="Z2" t="s">
        <v>256</v>
      </c>
      <c r="AA2">
        <v>4549110000000</v>
      </c>
      <c r="AB2">
        <v>7873918226</v>
      </c>
      <c r="AC2" t="s">
        <v>246</v>
      </c>
      <c r="AD2" t="s">
        <v>94</v>
      </c>
      <c r="AE2" t="s">
        <v>257</v>
      </c>
      <c r="AF2">
        <v>738</v>
      </c>
      <c r="AG2" t="s">
        <v>94</v>
      </c>
      <c r="AH2" t="s">
        <v>258</v>
      </c>
      <c r="AJ2">
        <v>8410</v>
      </c>
      <c r="AK2" t="s">
        <v>259</v>
      </c>
      <c r="AL2" t="s">
        <v>260</v>
      </c>
      <c r="AM2" t="s">
        <v>261</v>
      </c>
      <c r="AN2">
        <v>111052</v>
      </c>
      <c r="AO2">
        <v>9382388446</v>
      </c>
      <c r="AP2" t="s">
        <v>262</v>
      </c>
      <c r="AQ2">
        <v>9382388446</v>
      </c>
      <c r="AR2" t="s">
        <v>91</v>
      </c>
      <c r="AS2" t="s">
        <v>254</v>
      </c>
      <c r="AT2" t="s">
        <v>245</v>
      </c>
      <c r="AU2">
        <v>4578004254</v>
      </c>
      <c r="AV2" t="s">
        <v>263</v>
      </c>
      <c r="AW2" t="s">
        <v>264</v>
      </c>
      <c r="AX2" t="s">
        <v>265</v>
      </c>
      <c r="AY2" t="s">
        <v>266</v>
      </c>
      <c r="AZ2" t="s">
        <v>267</v>
      </c>
      <c r="BA2">
        <v>738</v>
      </c>
      <c r="BB2" t="s">
        <v>268</v>
      </c>
      <c r="BC2" t="s">
        <v>102</v>
      </c>
      <c r="BD2" t="s">
        <v>269</v>
      </c>
      <c r="BE2" s="8">
        <v>46084</v>
      </c>
      <c r="BF2" t="s">
        <v>97</v>
      </c>
      <c r="BG2" t="s">
        <v>250</v>
      </c>
      <c r="BH2" t="s">
        <v>120</v>
      </c>
      <c r="BI2" t="s">
        <v>99</v>
      </c>
      <c r="BJ2" t="s">
        <v>270</v>
      </c>
      <c r="BK2" t="s">
        <v>271</v>
      </c>
      <c r="BL2" t="s">
        <v>272</v>
      </c>
      <c r="BM2" t="s">
        <v>102</v>
      </c>
      <c r="BN2" t="s">
        <v>101</v>
      </c>
      <c r="BO2" t="s">
        <v>102</v>
      </c>
      <c r="BP2" t="s">
        <v>102</v>
      </c>
      <c r="BQ2" t="s">
        <v>273</v>
      </c>
      <c r="BR2" t="s">
        <v>274</v>
      </c>
      <c r="BS2" t="s">
        <v>102</v>
      </c>
      <c r="BT2" t="s">
        <v>102</v>
      </c>
      <c r="BU2" t="s">
        <v>102</v>
      </c>
      <c r="BV2" t="s">
        <v>273</v>
      </c>
      <c r="BW2" t="s">
        <v>275</v>
      </c>
      <c r="BX2" t="s">
        <v>276</v>
      </c>
      <c r="BY2" t="s">
        <v>95</v>
      </c>
      <c r="BZ2" t="s">
        <v>277</v>
      </c>
      <c r="CB2" t="s">
        <v>102</v>
      </c>
      <c r="CC2" t="s">
        <v>102</v>
      </c>
      <c r="CD2" t="s">
        <v>278</v>
      </c>
      <c r="CE2" t="s">
        <v>102</v>
      </c>
      <c r="CF2" t="s">
        <v>279</v>
      </c>
      <c r="CG2" t="s">
        <v>102</v>
      </c>
      <c r="CH2" t="s">
        <v>279</v>
      </c>
      <c r="CI2" t="s">
        <v>280</v>
      </c>
      <c r="CJ2" t="s">
        <v>102</v>
      </c>
      <c r="CK2" t="s">
        <v>102</v>
      </c>
      <c r="CL2" t="s">
        <v>281</v>
      </c>
      <c r="CM2" t="s">
        <v>102</v>
      </c>
      <c r="CN2" t="s">
        <v>282</v>
      </c>
      <c r="CO2" t="s">
        <v>102</v>
      </c>
      <c r="CP2" t="s">
        <v>283</v>
      </c>
      <c r="CQ2" t="s">
        <v>102</v>
      </c>
      <c r="CR2" t="s">
        <v>102</v>
      </c>
      <c r="CS2" t="s">
        <v>95</v>
      </c>
      <c r="CT2" t="s">
        <v>284</v>
      </c>
      <c r="CU2" t="s">
        <v>285</v>
      </c>
      <c r="CV2" t="s">
        <v>286</v>
      </c>
      <c r="CW2" t="s">
        <v>287</v>
      </c>
      <c r="CX2" t="s">
        <v>288</v>
      </c>
      <c r="CY2" t="s">
        <v>102</v>
      </c>
      <c r="CZ2" t="s">
        <v>245</v>
      </c>
      <c r="DA2" t="s">
        <v>289</v>
      </c>
      <c r="DB2" s="11">
        <v>46118.926000729167</v>
      </c>
    </row>
    <row r="3" spans="1:107" x14ac:dyDescent="0.25">
      <c r="A3">
        <v>95</v>
      </c>
      <c r="B3" t="s">
        <v>290</v>
      </c>
      <c r="C3">
        <v>9381985317</v>
      </c>
      <c r="D3" t="s">
        <v>291</v>
      </c>
      <c r="F3">
        <v>623</v>
      </c>
      <c r="G3" t="s">
        <v>292</v>
      </c>
      <c r="I3" t="s">
        <v>249</v>
      </c>
      <c r="J3" t="s">
        <v>250</v>
      </c>
      <c r="K3" t="s">
        <v>251</v>
      </c>
      <c r="L3" t="s">
        <v>252</v>
      </c>
      <c r="M3" t="s">
        <v>99</v>
      </c>
      <c r="N3" t="s">
        <v>253</v>
      </c>
      <c r="O3">
        <v>5812</v>
      </c>
      <c r="P3" t="s">
        <v>254</v>
      </c>
      <c r="Q3">
        <v>9380500950</v>
      </c>
      <c r="R3" t="s">
        <v>293</v>
      </c>
      <c r="S3">
        <v>160</v>
      </c>
      <c r="T3" t="s">
        <v>120</v>
      </c>
      <c r="U3">
        <v>9381985317</v>
      </c>
      <c r="V3">
        <v>10</v>
      </c>
      <c r="W3" t="s">
        <v>134</v>
      </c>
      <c r="X3" t="s">
        <v>118</v>
      </c>
      <c r="Y3" t="s">
        <v>91</v>
      </c>
      <c r="Z3" t="s">
        <v>294</v>
      </c>
      <c r="AA3">
        <v>4549110000000</v>
      </c>
      <c r="AB3">
        <v>7873933970</v>
      </c>
      <c r="AC3" t="s">
        <v>291</v>
      </c>
      <c r="AD3" t="s">
        <v>94</v>
      </c>
      <c r="AE3" t="s">
        <v>295</v>
      </c>
      <c r="AF3">
        <v>623</v>
      </c>
      <c r="AG3" t="s">
        <v>94</v>
      </c>
      <c r="AH3" t="s">
        <v>296</v>
      </c>
      <c r="AJ3">
        <v>8410</v>
      </c>
      <c r="AK3" t="s">
        <v>297</v>
      </c>
      <c r="AL3" t="s">
        <v>298</v>
      </c>
      <c r="AM3" t="s">
        <v>299</v>
      </c>
      <c r="AN3">
        <v>111052</v>
      </c>
      <c r="AO3">
        <v>9381985317</v>
      </c>
      <c r="AP3" t="s">
        <v>262</v>
      </c>
      <c r="AQ3">
        <v>9381985317</v>
      </c>
      <c r="AR3" t="s">
        <v>91</v>
      </c>
      <c r="AS3" t="s">
        <v>254</v>
      </c>
      <c r="AT3" t="s">
        <v>290</v>
      </c>
      <c r="AU3">
        <v>9381985317</v>
      </c>
      <c r="AV3" t="s">
        <v>263</v>
      </c>
      <c r="AW3" t="s">
        <v>300</v>
      </c>
      <c r="AX3" t="s">
        <v>301</v>
      </c>
      <c r="AY3" t="s">
        <v>266</v>
      </c>
      <c r="AZ3" t="s">
        <v>267</v>
      </c>
      <c r="BA3">
        <v>623</v>
      </c>
      <c r="BB3" t="s">
        <v>268</v>
      </c>
      <c r="BC3" t="s">
        <v>102</v>
      </c>
      <c r="BD3" t="s">
        <v>269</v>
      </c>
      <c r="BE3" s="8">
        <v>46098</v>
      </c>
      <c r="BF3" t="s">
        <v>97</v>
      </c>
      <c r="BG3" t="s">
        <v>250</v>
      </c>
      <c r="BH3" t="s">
        <v>302</v>
      </c>
      <c r="BI3" t="s">
        <v>99</v>
      </c>
      <c r="BJ3" t="s">
        <v>270</v>
      </c>
      <c r="BK3" t="s">
        <v>303</v>
      </c>
      <c r="BL3" t="s">
        <v>272</v>
      </c>
      <c r="BM3" t="s">
        <v>102</v>
      </c>
      <c r="BN3" t="s">
        <v>101</v>
      </c>
      <c r="BO3" t="s">
        <v>102</v>
      </c>
      <c r="BP3" t="s">
        <v>102</v>
      </c>
      <c r="BQ3" t="s">
        <v>304</v>
      </c>
      <c r="BR3" t="s">
        <v>274</v>
      </c>
      <c r="BS3" t="s">
        <v>102</v>
      </c>
      <c r="BT3" t="s">
        <v>102</v>
      </c>
      <c r="BU3" t="s">
        <v>102</v>
      </c>
      <c r="BV3" t="s">
        <v>305</v>
      </c>
      <c r="BW3" t="s">
        <v>275</v>
      </c>
      <c r="BX3" t="s">
        <v>276</v>
      </c>
      <c r="BY3" t="s">
        <v>95</v>
      </c>
      <c r="BZ3" t="s">
        <v>306</v>
      </c>
      <c r="CB3" t="s">
        <v>102</v>
      </c>
      <c r="CC3" t="s">
        <v>102</v>
      </c>
      <c r="CD3" t="s">
        <v>307</v>
      </c>
      <c r="CE3" t="s">
        <v>102</v>
      </c>
      <c r="CF3" t="s">
        <v>308</v>
      </c>
      <c r="CG3" t="s">
        <v>102</v>
      </c>
      <c r="CH3" t="s">
        <v>309</v>
      </c>
      <c r="CI3" t="s">
        <v>280</v>
      </c>
      <c r="CJ3" t="s">
        <v>102</v>
      </c>
      <c r="CK3" t="s">
        <v>102</v>
      </c>
      <c r="CL3" t="s">
        <v>281</v>
      </c>
      <c r="CM3" t="s">
        <v>102</v>
      </c>
      <c r="CN3" t="s">
        <v>282</v>
      </c>
      <c r="CO3" t="s">
        <v>102</v>
      </c>
      <c r="CP3" t="s">
        <v>278</v>
      </c>
      <c r="CQ3" t="s">
        <v>102</v>
      </c>
      <c r="CR3" t="s">
        <v>102</v>
      </c>
      <c r="CS3" t="s">
        <v>102</v>
      </c>
      <c r="CT3" t="s">
        <v>310</v>
      </c>
      <c r="CU3" t="s">
        <v>311</v>
      </c>
      <c r="CV3" t="s">
        <v>312</v>
      </c>
      <c r="CW3" t="s">
        <v>313</v>
      </c>
      <c r="CX3" t="s">
        <v>314</v>
      </c>
      <c r="CY3" t="s">
        <v>102</v>
      </c>
      <c r="CZ3" t="s">
        <v>290</v>
      </c>
      <c r="DA3" t="s">
        <v>289</v>
      </c>
      <c r="DB3" s="11">
        <v>46118.926000729167</v>
      </c>
    </row>
    <row r="4" spans="1:107" x14ac:dyDescent="0.25">
      <c r="A4">
        <v>97</v>
      </c>
      <c r="B4" t="s">
        <v>315</v>
      </c>
      <c r="C4">
        <v>9382408848</v>
      </c>
      <c r="D4" t="s">
        <v>316</v>
      </c>
      <c r="F4">
        <v>678</v>
      </c>
      <c r="G4" t="s">
        <v>292</v>
      </c>
      <c r="I4" t="s">
        <v>249</v>
      </c>
      <c r="J4" t="s">
        <v>250</v>
      </c>
      <c r="K4" t="s">
        <v>251</v>
      </c>
      <c r="L4" t="s">
        <v>252</v>
      </c>
      <c r="M4" t="s">
        <v>99</v>
      </c>
      <c r="N4" t="s">
        <v>253</v>
      </c>
      <c r="O4">
        <v>5812</v>
      </c>
      <c r="P4" t="s">
        <v>254</v>
      </c>
      <c r="Q4">
        <v>9380500950</v>
      </c>
      <c r="R4" t="s">
        <v>293</v>
      </c>
      <c r="S4">
        <v>2818</v>
      </c>
      <c r="T4" t="s">
        <v>120</v>
      </c>
      <c r="U4">
        <v>9382408848</v>
      </c>
      <c r="V4">
        <v>10</v>
      </c>
      <c r="W4" t="s">
        <v>134</v>
      </c>
      <c r="X4" t="s">
        <v>118</v>
      </c>
      <c r="Y4" t="s">
        <v>91</v>
      </c>
      <c r="Z4" t="s">
        <v>317</v>
      </c>
      <c r="AA4">
        <v>498444829887</v>
      </c>
      <c r="AB4">
        <v>7873934293</v>
      </c>
      <c r="AC4" t="s">
        <v>316</v>
      </c>
      <c r="AD4" t="s">
        <v>94</v>
      </c>
      <c r="AE4" t="s">
        <v>318</v>
      </c>
      <c r="AF4">
        <v>678</v>
      </c>
      <c r="AG4" t="s">
        <v>94</v>
      </c>
      <c r="AH4" t="s">
        <v>319</v>
      </c>
      <c r="AJ4">
        <v>8410</v>
      </c>
      <c r="AK4" t="s">
        <v>320</v>
      </c>
      <c r="AL4" t="s">
        <v>321</v>
      </c>
      <c r="AM4" t="s">
        <v>322</v>
      </c>
      <c r="AN4">
        <v>111052</v>
      </c>
      <c r="AO4">
        <v>9382408848</v>
      </c>
      <c r="AP4" t="s">
        <v>262</v>
      </c>
      <c r="AQ4">
        <v>9382408848</v>
      </c>
      <c r="AR4" t="s">
        <v>91</v>
      </c>
      <c r="AS4" t="s">
        <v>254</v>
      </c>
      <c r="AT4" t="s">
        <v>315</v>
      </c>
      <c r="AU4">
        <v>9382408848</v>
      </c>
      <c r="AV4" t="s">
        <v>263</v>
      </c>
      <c r="AW4" t="s">
        <v>323</v>
      </c>
      <c r="AX4" t="s">
        <v>301</v>
      </c>
      <c r="AY4" t="s">
        <v>266</v>
      </c>
      <c r="AZ4" t="s">
        <v>267</v>
      </c>
      <c r="BA4">
        <v>678</v>
      </c>
      <c r="BB4" t="s">
        <v>257</v>
      </c>
      <c r="BC4" t="s">
        <v>102</v>
      </c>
      <c r="BD4" t="s">
        <v>269</v>
      </c>
      <c r="BE4" s="8">
        <v>46098</v>
      </c>
      <c r="BF4" t="s">
        <v>97</v>
      </c>
      <c r="BG4" t="s">
        <v>250</v>
      </c>
      <c r="BH4" t="s">
        <v>302</v>
      </c>
      <c r="BI4" t="s">
        <v>99</v>
      </c>
      <c r="BJ4" t="s">
        <v>324</v>
      </c>
      <c r="BK4" t="s">
        <v>271</v>
      </c>
      <c r="BL4" t="s">
        <v>272</v>
      </c>
      <c r="BM4" t="s">
        <v>102</v>
      </c>
      <c r="BN4" t="s">
        <v>272</v>
      </c>
      <c r="BO4" t="s">
        <v>102</v>
      </c>
      <c r="BP4" t="s">
        <v>102</v>
      </c>
      <c r="BQ4" t="s">
        <v>273</v>
      </c>
      <c r="BR4" t="s">
        <v>325</v>
      </c>
      <c r="BS4" t="s">
        <v>102</v>
      </c>
      <c r="BT4" t="s">
        <v>102</v>
      </c>
      <c r="BU4" t="s">
        <v>102</v>
      </c>
      <c r="BV4" t="s">
        <v>305</v>
      </c>
      <c r="BW4" t="s">
        <v>275</v>
      </c>
      <c r="BX4" t="s">
        <v>326</v>
      </c>
      <c r="BY4" t="s">
        <v>95</v>
      </c>
      <c r="BZ4" t="s">
        <v>327</v>
      </c>
      <c r="CA4" t="s">
        <v>275</v>
      </c>
      <c r="CB4" t="s">
        <v>102</v>
      </c>
      <c r="CC4" t="s">
        <v>102</v>
      </c>
      <c r="CD4" t="s">
        <v>307</v>
      </c>
      <c r="CE4" t="s">
        <v>102</v>
      </c>
      <c r="CF4" t="s">
        <v>279</v>
      </c>
      <c r="CG4" t="s">
        <v>102</v>
      </c>
      <c r="CH4" t="s">
        <v>279</v>
      </c>
      <c r="CI4" t="s">
        <v>328</v>
      </c>
      <c r="CJ4" t="s">
        <v>102</v>
      </c>
      <c r="CK4" t="s">
        <v>102</v>
      </c>
      <c r="CL4" t="s">
        <v>283</v>
      </c>
      <c r="CM4" t="s">
        <v>102</v>
      </c>
      <c r="CN4" t="s">
        <v>282</v>
      </c>
      <c r="CO4" t="s">
        <v>102</v>
      </c>
      <c r="CP4" t="s">
        <v>329</v>
      </c>
      <c r="CQ4" t="s">
        <v>102</v>
      </c>
      <c r="CR4" t="s">
        <v>102</v>
      </c>
      <c r="CS4" t="s">
        <v>102</v>
      </c>
      <c r="CT4" t="s">
        <v>330</v>
      </c>
      <c r="CU4" t="s">
        <v>311</v>
      </c>
      <c r="CV4" t="s">
        <v>286</v>
      </c>
      <c r="CW4" t="s">
        <v>313</v>
      </c>
      <c r="CX4" t="s">
        <v>314</v>
      </c>
      <c r="CY4" t="s">
        <v>102</v>
      </c>
      <c r="CZ4" t="s">
        <v>315</v>
      </c>
      <c r="DA4" t="s">
        <v>289</v>
      </c>
      <c r="DB4" s="11">
        <v>46118.926000729167</v>
      </c>
    </row>
    <row r="6" spans="1:107" ht="45" x14ac:dyDescent="0.25">
      <c r="A6" s="21" t="s">
        <v>148</v>
      </c>
      <c r="B6" s="22" t="s">
        <v>0</v>
      </c>
      <c r="C6" s="22" t="s">
        <v>1</v>
      </c>
      <c r="D6" s="22" t="s">
        <v>7</v>
      </c>
      <c r="E6" s="22" t="s">
        <v>8</v>
      </c>
      <c r="F6" s="22" t="s">
        <v>9</v>
      </c>
      <c r="G6" s="22" t="s">
        <v>17</v>
      </c>
      <c r="H6" s="22" t="s">
        <v>149</v>
      </c>
      <c r="I6" s="22" t="s">
        <v>150</v>
      </c>
      <c r="J6" s="22" t="s">
        <v>151</v>
      </c>
      <c r="K6" s="22" t="s">
        <v>152</v>
      </c>
      <c r="L6" s="22" t="s">
        <v>153</v>
      </c>
      <c r="M6" s="22" t="s">
        <v>154</v>
      </c>
      <c r="N6" s="22" t="s">
        <v>155</v>
      </c>
      <c r="O6" s="22" t="s">
        <v>156</v>
      </c>
      <c r="P6" s="22" t="s">
        <v>157</v>
      </c>
      <c r="Q6" s="22" t="s">
        <v>158</v>
      </c>
      <c r="R6" s="22" t="s">
        <v>159</v>
      </c>
      <c r="S6" s="22" t="s">
        <v>160</v>
      </c>
      <c r="T6" s="22" t="s">
        <v>161</v>
      </c>
      <c r="U6" s="22" t="s">
        <v>162</v>
      </c>
      <c r="V6" s="22" t="s">
        <v>331</v>
      </c>
      <c r="W6" s="22" t="s">
        <v>332</v>
      </c>
      <c r="X6" s="22" t="s">
        <v>165</v>
      </c>
      <c r="Y6" s="22" t="s">
        <v>166</v>
      </c>
      <c r="Z6" s="22" t="s">
        <v>167</v>
      </c>
      <c r="AA6" s="22" t="s">
        <v>168</v>
      </c>
      <c r="AB6" s="22" t="s">
        <v>169</v>
      </c>
      <c r="AC6" s="22" t="s">
        <v>170</v>
      </c>
      <c r="AD6" s="22" t="s">
        <v>171</v>
      </c>
      <c r="AE6" s="22" t="s">
        <v>172</v>
      </c>
      <c r="AF6" s="22" t="s">
        <v>173</v>
      </c>
      <c r="AG6" s="22" t="s">
        <v>174</v>
      </c>
      <c r="AH6" s="22" t="s">
        <v>175</v>
      </c>
      <c r="AI6" s="22" t="s">
        <v>176</v>
      </c>
      <c r="AJ6" s="22" t="s">
        <v>177</v>
      </c>
      <c r="AK6" s="22" t="s">
        <v>178</v>
      </c>
      <c r="AL6" s="22" t="s">
        <v>179</v>
      </c>
      <c r="AM6" s="22" t="s">
        <v>180</v>
      </c>
      <c r="AN6" s="22" t="s">
        <v>181</v>
      </c>
      <c r="AO6" s="22" t="s">
        <v>182</v>
      </c>
      <c r="AP6" s="22" t="s">
        <v>183</v>
      </c>
      <c r="AQ6" s="22" t="s">
        <v>184</v>
      </c>
      <c r="AR6" s="22" t="s">
        <v>185</v>
      </c>
      <c r="AS6" s="22" t="s">
        <v>186</v>
      </c>
      <c r="AT6" s="22" t="s">
        <v>187</v>
      </c>
      <c r="AU6" s="22" t="s">
        <v>333</v>
      </c>
      <c r="AV6" s="22" t="s">
        <v>189</v>
      </c>
      <c r="AW6" s="23" t="s">
        <v>334</v>
      </c>
      <c r="AX6" s="22" t="s">
        <v>190</v>
      </c>
      <c r="AY6" s="22" t="s">
        <v>191</v>
      </c>
      <c r="AZ6" s="22" t="s">
        <v>192</v>
      </c>
      <c r="BA6" s="22" t="s">
        <v>193</v>
      </c>
      <c r="BB6" s="22" t="s">
        <v>194</v>
      </c>
      <c r="BC6" s="22" t="s">
        <v>195</v>
      </c>
      <c r="BD6" s="22" t="s">
        <v>196</v>
      </c>
      <c r="BE6" s="22" t="s">
        <v>335</v>
      </c>
      <c r="BF6" s="22" t="s">
        <v>180</v>
      </c>
      <c r="BG6" s="22" t="s">
        <v>198</v>
      </c>
      <c r="BH6" s="22" t="s">
        <v>199</v>
      </c>
      <c r="BI6" s="22" t="s">
        <v>200</v>
      </c>
      <c r="BJ6" s="22" t="s">
        <v>201</v>
      </c>
      <c r="BK6" s="22" t="s">
        <v>202</v>
      </c>
      <c r="BL6" s="22" t="s">
        <v>203</v>
      </c>
      <c r="BM6" s="22" t="s">
        <v>204</v>
      </c>
      <c r="BN6" s="22" t="s">
        <v>205</v>
      </c>
      <c r="BO6" s="22" t="s">
        <v>206</v>
      </c>
      <c r="BP6" s="22" t="s">
        <v>207</v>
      </c>
      <c r="BQ6" s="22" t="s">
        <v>208</v>
      </c>
      <c r="BR6" s="22" t="s">
        <v>209</v>
      </c>
      <c r="BS6" s="22" t="s">
        <v>210</v>
      </c>
      <c r="BT6" s="22" t="s">
        <v>211</v>
      </c>
      <c r="BU6" s="22" t="s">
        <v>212</v>
      </c>
      <c r="BV6" s="22" t="s">
        <v>213</v>
      </c>
      <c r="BW6" s="22" t="s">
        <v>214</v>
      </c>
      <c r="BX6" s="22" t="s">
        <v>215</v>
      </c>
      <c r="BY6" s="22" t="s">
        <v>216</v>
      </c>
      <c r="BZ6" s="22" t="s">
        <v>217</v>
      </c>
      <c r="CA6" s="22" t="s">
        <v>218</v>
      </c>
      <c r="CB6" s="22" t="s">
        <v>219</v>
      </c>
      <c r="CC6" s="22" t="s">
        <v>220</v>
      </c>
      <c r="CD6" s="22" t="s">
        <v>221</v>
      </c>
      <c r="CE6" s="22" t="s">
        <v>222</v>
      </c>
      <c r="CF6" s="22" t="s">
        <v>223</v>
      </c>
      <c r="CG6" s="22" t="s">
        <v>224</v>
      </c>
      <c r="CH6" s="22" t="s">
        <v>225</v>
      </c>
      <c r="CI6" s="22" t="s">
        <v>226</v>
      </c>
      <c r="CJ6" s="22" t="s">
        <v>227</v>
      </c>
      <c r="CK6" s="22" t="s">
        <v>228</v>
      </c>
      <c r="CL6" s="22" t="s">
        <v>229</v>
      </c>
      <c r="CM6" s="22" t="s">
        <v>230</v>
      </c>
      <c r="CN6" s="22" t="s">
        <v>231</v>
      </c>
      <c r="CO6" s="22" t="s">
        <v>232</v>
      </c>
      <c r="CP6" s="22" t="s">
        <v>233</v>
      </c>
      <c r="CQ6" s="22" t="s">
        <v>234</v>
      </c>
      <c r="CR6" s="22" t="s">
        <v>235</v>
      </c>
      <c r="CS6" s="22" t="s">
        <v>236</v>
      </c>
      <c r="CT6" s="22" t="s">
        <v>237</v>
      </c>
      <c r="CU6" s="22" t="s">
        <v>238</v>
      </c>
      <c r="CV6" s="22" t="s">
        <v>239</v>
      </c>
      <c r="CW6" s="22" t="s">
        <v>240</v>
      </c>
      <c r="CX6" s="22" t="s">
        <v>241</v>
      </c>
      <c r="CY6" s="22" t="s">
        <v>242</v>
      </c>
      <c r="CZ6" s="22" t="s">
        <v>243</v>
      </c>
      <c r="DA6" s="22" t="s">
        <v>19</v>
      </c>
      <c r="DB6" s="22" t="s">
        <v>89</v>
      </c>
      <c r="DC6" s="22" t="s">
        <v>244</v>
      </c>
    </row>
    <row r="7" spans="1:107" x14ac:dyDescent="0.25">
      <c r="A7" t="b">
        <f>+A6=A1</f>
        <v>1</v>
      </c>
      <c r="B7" t="b">
        <f t="shared" ref="B7:AW7" si="0">+B6=B1</f>
        <v>1</v>
      </c>
      <c r="C7" t="b">
        <f t="shared" si="0"/>
        <v>1</v>
      </c>
      <c r="D7" t="b">
        <f t="shared" si="0"/>
        <v>1</v>
      </c>
      <c r="E7" t="b">
        <f t="shared" si="0"/>
        <v>1</v>
      </c>
      <c r="F7" t="b">
        <f t="shared" si="0"/>
        <v>1</v>
      </c>
      <c r="G7" t="b">
        <f t="shared" si="0"/>
        <v>1</v>
      </c>
      <c r="H7" t="b">
        <f t="shared" si="0"/>
        <v>1</v>
      </c>
      <c r="I7" t="b">
        <f t="shared" si="0"/>
        <v>1</v>
      </c>
      <c r="J7" t="b">
        <f t="shared" si="0"/>
        <v>1</v>
      </c>
      <c r="K7" t="b">
        <f t="shared" si="0"/>
        <v>1</v>
      </c>
      <c r="L7" t="b">
        <f t="shared" si="0"/>
        <v>1</v>
      </c>
      <c r="M7" t="b">
        <f t="shared" si="0"/>
        <v>1</v>
      </c>
      <c r="N7" t="b">
        <f t="shared" si="0"/>
        <v>1</v>
      </c>
      <c r="O7" t="b">
        <f t="shared" si="0"/>
        <v>1</v>
      </c>
      <c r="P7" t="b">
        <f t="shared" si="0"/>
        <v>1</v>
      </c>
      <c r="Q7" t="b">
        <f t="shared" si="0"/>
        <v>1</v>
      </c>
      <c r="R7" t="b">
        <f t="shared" si="0"/>
        <v>1</v>
      </c>
      <c r="S7" t="b">
        <f t="shared" si="0"/>
        <v>1</v>
      </c>
      <c r="T7" t="b">
        <f t="shared" si="0"/>
        <v>1</v>
      </c>
      <c r="U7" t="b">
        <f t="shared" si="0"/>
        <v>1</v>
      </c>
      <c r="V7" t="b">
        <f t="shared" si="0"/>
        <v>0</v>
      </c>
      <c r="W7" t="b">
        <f t="shared" si="0"/>
        <v>0</v>
      </c>
      <c r="X7" t="b">
        <f t="shared" si="0"/>
        <v>1</v>
      </c>
      <c r="Y7" t="b">
        <f t="shared" si="0"/>
        <v>1</v>
      </c>
      <c r="Z7" t="b">
        <f t="shared" si="0"/>
        <v>1</v>
      </c>
      <c r="AA7" t="b">
        <f t="shared" si="0"/>
        <v>1</v>
      </c>
      <c r="AB7" t="b">
        <f t="shared" si="0"/>
        <v>1</v>
      </c>
      <c r="AC7" t="b">
        <f t="shared" si="0"/>
        <v>1</v>
      </c>
      <c r="AD7" t="b">
        <f t="shared" si="0"/>
        <v>1</v>
      </c>
      <c r="AE7" t="b">
        <f t="shared" si="0"/>
        <v>1</v>
      </c>
      <c r="AF7" t="b">
        <f t="shared" si="0"/>
        <v>1</v>
      </c>
      <c r="AG7" t="b">
        <f t="shared" si="0"/>
        <v>1</v>
      </c>
      <c r="AH7" t="b">
        <f t="shared" si="0"/>
        <v>1</v>
      </c>
      <c r="AI7" t="b">
        <f t="shared" si="0"/>
        <v>1</v>
      </c>
      <c r="AJ7" t="b">
        <f t="shared" si="0"/>
        <v>1</v>
      </c>
      <c r="AK7" t="b">
        <f t="shared" si="0"/>
        <v>1</v>
      </c>
      <c r="AL7" t="b">
        <f t="shared" si="0"/>
        <v>1</v>
      </c>
      <c r="AM7" t="b">
        <f t="shared" si="0"/>
        <v>1</v>
      </c>
      <c r="AN7" t="b">
        <f t="shared" si="0"/>
        <v>1</v>
      </c>
      <c r="AO7" t="b">
        <f t="shared" si="0"/>
        <v>1</v>
      </c>
      <c r="AP7" t="b">
        <f t="shared" si="0"/>
        <v>1</v>
      </c>
      <c r="AQ7" t="b">
        <f t="shared" si="0"/>
        <v>1</v>
      </c>
      <c r="AR7" t="b">
        <f t="shared" si="0"/>
        <v>1</v>
      </c>
      <c r="AS7" t="b">
        <f t="shared" si="0"/>
        <v>1</v>
      </c>
      <c r="AT7" t="b">
        <f t="shared" si="0"/>
        <v>1</v>
      </c>
      <c r="AU7" t="b">
        <f t="shared" si="0"/>
        <v>0</v>
      </c>
      <c r="AV7" t="b">
        <f t="shared" si="0"/>
        <v>1</v>
      </c>
      <c r="AW7" s="13" t="b">
        <f t="shared" si="0"/>
        <v>0</v>
      </c>
      <c r="AX7" t="b">
        <f>+AX6=AW1</f>
        <v>1</v>
      </c>
      <c r="AY7" t="b">
        <f t="shared" ref="AY7:DC7" si="1">+AY6=AX1</f>
        <v>1</v>
      </c>
      <c r="AZ7" t="b">
        <f t="shared" si="1"/>
        <v>1</v>
      </c>
      <c r="BA7" t="b">
        <f t="shared" si="1"/>
        <v>1</v>
      </c>
      <c r="BB7" t="b">
        <f t="shared" si="1"/>
        <v>1</v>
      </c>
      <c r="BC7" t="b">
        <f t="shared" si="1"/>
        <v>1</v>
      </c>
      <c r="BD7" t="b">
        <f t="shared" si="1"/>
        <v>1</v>
      </c>
      <c r="BE7" t="b">
        <f t="shared" si="1"/>
        <v>0</v>
      </c>
      <c r="BF7" t="b">
        <f t="shared" si="1"/>
        <v>1</v>
      </c>
      <c r="BG7" t="b">
        <f t="shared" si="1"/>
        <v>1</v>
      </c>
      <c r="BH7" t="b">
        <f t="shared" si="1"/>
        <v>1</v>
      </c>
      <c r="BI7" t="b">
        <f t="shared" si="1"/>
        <v>1</v>
      </c>
      <c r="BJ7" t="b">
        <f t="shared" si="1"/>
        <v>1</v>
      </c>
      <c r="BK7" t="b">
        <f t="shared" si="1"/>
        <v>1</v>
      </c>
      <c r="BL7" t="b">
        <f t="shared" si="1"/>
        <v>1</v>
      </c>
      <c r="BM7" t="b">
        <f t="shared" si="1"/>
        <v>1</v>
      </c>
      <c r="BN7" t="b">
        <f t="shared" si="1"/>
        <v>1</v>
      </c>
      <c r="BO7" t="b">
        <f t="shared" si="1"/>
        <v>1</v>
      </c>
      <c r="BP7" t="b">
        <f t="shared" si="1"/>
        <v>1</v>
      </c>
      <c r="BQ7" t="b">
        <f t="shared" si="1"/>
        <v>1</v>
      </c>
      <c r="BR7" t="b">
        <f t="shared" si="1"/>
        <v>1</v>
      </c>
      <c r="BS7" t="b">
        <f t="shared" si="1"/>
        <v>1</v>
      </c>
      <c r="BT7" t="b">
        <f t="shared" si="1"/>
        <v>1</v>
      </c>
      <c r="BU7" t="b">
        <f t="shared" si="1"/>
        <v>1</v>
      </c>
      <c r="BV7" t="b">
        <f t="shared" si="1"/>
        <v>1</v>
      </c>
      <c r="BW7" t="b">
        <f t="shared" si="1"/>
        <v>1</v>
      </c>
      <c r="BX7" t="b">
        <f t="shared" si="1"/>
        <v>1</v>
      </c>
      <c r="BY7" t="b">
        <f t="shared" si="1"/>
        <v>1</v>
      </c>
      <c r="BZ7" t="b">
        <f t="shared" si="1"/>
        <v>1</v>
      </c>
      <c r="CA7" t="b">
        <f t="shared" si="1"/>
        <v>1</v>
      </c>
      <c r="CB7" t="b">
        <f t="shared" si="1"/>
        <v>1</v>
      </c>
      <c r="CC7" t="b">
        <f t="shared" si="1"/>
        <v>1</v>
      </c>
      <c r="CD7" t="b">
        <f t="shared" si="1"/>
        <v>1</v>
      </c>
      <c r="CE7" t="b">
        <f t="shared" si="1"/>
        <v>1</v>
      </c>
      <c r="CF7" t="b">
        <f t="shared" si="1"/>
        <v>1</v>
      </c>
      <c r="CG7" t="b">
        <f t="shared" si="1"/>
        <v>1</v>
      </c>
      <c r="CH7" t="b">
        <f t="shared" si="1"/>
        <v>1</v>
      </c>
      <c r="CI7" t="b">
        <f t="shared" si="1"/>
        <v>1</v>
      </c>
      <c r="CJ7" t="b">
        <f t="shared" si="1"/>
        <v>1</v>
      </c>
      <c r="CK7" t="b">
        <f t="shared" si="1"/>
        <v>1</v>
      </c>
      <c r="CL7" t="b">
        <f t="shared" si="1"/>
        <v>1</v>
      </c>
      <c r="CM7" t="b">
        <f t="shared" si="1"/>
        <v>1</v>
      </c>
      <c r="CN7" t="b">
        <f t="shared" si="1"/>
        <v>1</v>
      </c>
      <c r="CO7" t="b">
        <f t="shared" si="1"/>
        <v>1</v>
      </c>
      <c r="CP7" t="b">
        <f t="shared" si="1"/>
        <v>1</v>
      </c>
      <c r="CQ7" t="b">
        <f t="shared" si="1"/>
        <v>1</v>
      </c>
      <c r="CR7" t="b">
        <f t="shared" si="1"/>
        <v>1</v>
      </c>
      <c r="CS7" t="b">
        <f t="shared" si="1"/>
        <v>1</v>
      </c>
      <c r="CT7" t="b">
        <f t="shared" si="1"/>
        <v>1</v>
      </c>
      <c r="CU7" t="b">
        <f t="shared" si="1"/>
        <v>1</v>
      </c>
      <c r="CV7" t="b">
        <f t="shared" si="1"/>
        <v>1</v>
      </c>
      <c r="CW7" t="b">
        <f t="shared" si="1"/>
        <v>1</v>
      </c>
      <c r="CX7" t="b">
        <f t="shared" si="1"/>
        <v>1</v>
      </c>
      <c r="CY7" t="b">
        <f t="shared" si="1"/>
        <v>1</v>
      </c>
      <c r="CZ7" t="b">
        <f t="shared" si="1"/>
        <v>1</v>
      </c>
      <c r="DA7" t="b">
        <f t="shared" si="1"/>
        <v>1</v>
      </c>
      <c r="DB7" t="b">
        <f t="shared" si="1"/>
        <v>1</v>
      </c>
      <c r="DC7" t="b">
        <f t="shared" si="1"/>
        <v>1</v>
      </c>
    </row>
    <row r="10" spans="1:107" x14ac:dyDescent="0.25">
      <c r="G10">
        <v>1</v>
      </c>
      <c r="H10" t="s">
        <v>148</v>
      </c>
    </row>
    <row r="11" spans="1:107" x14ac:dyDescent="0.25">
      <c r="G11">
        <v>2</v>
      </c>
      <c r="H11" t="s">
        <v>0</v>
      </c>
    </row>
    <row r="12" spans="1:107" x14ac:dyDescent="0.25">
      <c r="G12">
        <v>3</v>
      </c>
      <c r="H12" t="s">
        <v>1</v>
      </c>
    </row>
    <row r="13" spans="1:107" x14ac:dyDescent="0.25">
      <c r="G13">
        <v>4</v>
      </c>
      <c r="H13" t="s">
        <v>7</v>
      </c>
    </row>
    <row r="14" spans="1:107" x14ac:dyDescent="0.25">
      <c r="G14">
        <v>5</v>
      </c>
      <c r="H14" t="s">
        <v>8</v>
      </c>
    </row>
    <row r="15" spans="1:107" x14ac:dyDescent="0.25">
      <c r="G15">
        <v>6</v>
      </c>
      <c r="H15" t="s">
        <v>9</v>
      </c>
    </row>
    <row r="16" spans="1:107" x14ac:dyDescent="0.25">
      <c r="G16">
        <v>7</v>
      </c>
      <c r="H16" t="s">
        <v>17</v>
      </c>
    </row>
    <row r="17" spans="7:8" x14ac:dyDescent="0.25">
      <c r="G17">
        <v>8</v>
      </c>
      <c r="H17" t="s">
        <v>149</v>
      </c>
    </row>
    <row r="18" spans="7:8" x14ac:dyDescent="0.25">
      <c r="G18">
        <v>9</v>
      </c>
      <c r="H18" t="s">
        <v>150</v>
      </c>
    </row>
    <row r="19" spans="7:8" x14ac:dyDescent="0.25">
      <c r="G19">
        <v>10</v>
      </c>
      <c r="H19" t="s">
        <v>151</v>
      </c>
    </row>
    <row r="20" spans="7:8" x14ac:dyDescent="0.25">
      <c r="G20">
        <v>11</v>
      </c>
      <c r="H20" t="s">
        <v>152</v>
      </c>
    </row>
    <row r="21" spans="7:8" x14ac:dyDescent="0.25">
      <c r="G21">
        <v>12</v>
      </c>
      <c r="H21" t="s">
        <v>153</v>
      </c>
    </row>
    <row r="22" spans="7:8" x14ac:dyDescent="0.25">
      <c r="G22">
        <v>13</v>
      </c>
      <c r="H22" t="s">
        <v>154</v>
      </c>
    </row>
    <row r="23" spans="7:8" x14ac:dyDescent="0.25">
      <c r="G23">
        <v>14</v>
      </c>
      <c r="H23" t="s">
        <v>155</v>
      </c>
    </row>
    <row r="24" spans="7:8" x14ac:dyDescent="0.25">
      <c r="G24">
        <v>15</v>
      </c>
      <c r="H24" t="s">
        <v>156</v>
      </c>
    </row>
    <row r="25" spans="7:8" x14ac:dyDescent="0.25">
      <c r="G25">
        <v>16</v>
      </c>
      <c r="H25" t="s">
        <v>157</v>
      </c>
    </row>
    <row r="26" spans="7:8" x14ac:dyDescent="0.25">
      <c r="G26">
        <v>17</v>
      </c>
      <c r="H26" t="s">
        <v>158</v>
      </c>
    </row>
    <row r="27" spans="7:8" x14ac:dyDescent="0.25">
      <c r="G27">
        <v>18</v>
      </c>
      <c r="H27" t="s">
        <v>159</v>
      </c>
    </row>
    <row r="28" spans="7:8" x14ac:dyDescent="0.25">
      <c r="G28">
        <v>19</v>
      </c>
      <c r="H28" t="s">
        <v>160</v>
      </c>
    </row>
    <row r="29" spans="7:8" x14ac:dyDescent="0.25">
      <c r="G29">
        <v>20</v>
      </c>
      <c r="H29" t="s">
        <v>161</v>
      </c>
    </row>
    <row r="30" spans="7:8" x14ac:dyDescent="0.25">
      <c r="G30">
        <v>21</v>
      </c>
      <c r="H30" t="s">
        <v>162</v>
      </c>
    </row>
    <row r="31" spans="7:8" x14ac:dyDescent="0.25">
      <c r="G31">
        <v>22</v>
      </c>
      <c r="H31" t="s">
        <v>163</v>
      </c>
    </row>
    <row r="32" spans="7:8" x14ac:dyDescent="0.25">
      <c r="G32">
        <v>23</v>
      </c>
      <c r="H32" t="s">
        <v>164</v>
      </c>
    </row>
    <row r="33" spans="7:8" x14ac:dyDescent="0.25">
      <c r="G33">
        <v>24</v>
      </c>
      <c r="H33" t="s">
        <v>165</v>
      </c>
    </row>
    <row r="34" spans="7:8" x14ac:dyDescent="0.25">
      <c r="G34">
        <v>25</v>
      </c>
      <c r="H34" t="s">
        <v>166</v>
      </c>
    </row>
    <row r="35" spans="7:8" x14ac:dyDescent="0.25">
      <c r="G35">
        <v>26</v>
      </c>
      <c r="H35" t="s">
        <v>167</v>
      </c>
    </row>
    <row r="36" spans="7:8" x14ac:dyDescent="0.25">
      <c r="G36">
        <v>27</v>
      </c>
      <c r="H36" t="s">
        <v>168</v>
      </c>
    </row>
    <row r="37" spans="7:8" x14ac:dyDescent="0.25">
      <c r="G37">
        <v>28</v>
      </c>
      <c r="H37" t="s">
        <v>169</v>
      </c>
    </row>
    <row r="38" spans="7:8" x14ac:dyDescent="0.25">
      <c r="G38">
        <v>29</v>
      </c>
      <c r="H38" t="s">
        <v>170</v>
      </c>
    </row>
    <row r="39" spans="7:8" x14ac:dyDescent="0.25">
      <c r="G39">
        <v>30</v>
      </c>
      <c r="H39" t="s">
        <v>171</v>
      </c>
    </row>
    <row r="40" spans="7:8" x14ac:dyDescent="0.25">
      <c r="G40">
        <v>31</v>
      </c>
      <c r="H40" t="s">
        <v>172</v>
      </c>
    </row>
    <row r="41" spans="7:8" x14ac:dyDescent="0.25">
      <c r="G41">
        <v>32</v>
      </c>
      <c r="H41" t="s">
        <v>173</v>
      </c>
    </row>
    <row r="42" spans="7:8" x14ac:dyDescent="0.25">
      <c r="G42">
        <v>33</v>
      </c>
      <c r="H42" t="s">
        <v>174</v>
      </c>
    </row>
    <row r="43" spans="7:8" x14ac:dyDescent="0.25">
      <c r="G43">
        <v>34</v>
      </c>
      <c r="H43" t="s">
        <v>175</v>
      </c>
    </row>
    <row r="44" spans="7:8" x14ac:dyDescent="0.25">
      <c r="G44">
        <v>35</v>
      </c>
      <c r="H44" t="s">
        <v>176</v>
      </c>
    </row>
    <row r="45" spans="7:8" x14ac:dyDescent="0.25">
      <c r="G45">
        <v>36</v>
      </c>
      <c r="H45" t="s">
        <v>177</v>
      </c>
    </row>
    <row r="46" spans="7:8" x14ac:dyDescent="0.25">
      <c r="G46">
        <v>37</v>
      </c>
      <c r="H46" t="s">
        <v>178</v>
      </c>
    </row>
    <row r="47" spans="7:8" x14ac:dyDescent="0.25">
      <c r="G47">
        <v>38</v>
      </c>
      <c r="H47" t="s">
        <v>179</v>
      </c>
    </row>
    <row r="48" spans="7:8" x14ac:dyDescent="0.25">
      <c r="G48">
        <v>39</v>
      </c>
      <c r="H48" t="s">
        <v>180</v>
      </c>
    </row>
    <row r="49" spans="7:8" x14ac:dyDescent="0.25">
      <c r="G49">
        <v>40</v>
      </c>
      <c r="H49" t="s">
        <v>181</v>
      </c>
    </row>
    <row r="50" spans="7:8" x14ac:dyDescent="0.25">
      <c r="G50">
        <v>41</v>
      </c>
      <c r="H50" t="s">
        <v>182</v>
      </c>
    </row>
    <row r="51" spans="7:8" x14ac:dyDescent="0.25">
      <c r="G51">
        <v>42</v>
      </c>
      <c r="H51" t="s">
        <v>183</v>
      </c>
    </row>
    <row r="52" spans="7:8" x14ac:dyDescent="0.25">
      <c r="G52">
        <v>43</v>
      </c>
      <c r="H52" t="s">
        <v>184</v>
      </c>
    </row>
    <row r="53" spans="7:8" x14ac:dyDescent="0.25">
      <c r="G53">
        <v>44</v>
      </c>
      <c r="H53" t="s">
        <v>185</v>
      </c>
    </row>
    <row r="54" spans="7:8" x14ac:dyDescent="0.25">
      <c r="G54">
        <v>45</v>
      </c>
      <c r="H54" t="s">
        <v>186</v>
      </c>
    </row>
    <row r="55" spans="7:8" x14ac:dyDescent="0.25">
      <c r="G55">
        <v>46</v>
      </c>
      <c r="H55" t="s">
        <v>187</v>
      </c>
    </row>
    <row r="56" spans="7:8" x14ac:dyDescent="0.25">
      <c r="G56">
        <v>47</v>
      </c>
      <c r="H56" t="s">
        <v>188</v>
      </c>
    </row>
    <row r="57" spans="7:8" x14ac:dyDescent="0.25">
      <c r="G57">
        <v>48</v>
      </c>
      <c r="H57" t="s">
        <v>189</v>
      </c>
    </row>
    <row r="58" spans="7:8" x14ac:dyDescent="0.25">
      <c r="G58">
        <v>49</v>
      </c>
      <c r="H58" t="s">
        <v>190</v>
      </c>
    </row>
    <row r="59" spans="7:8" x14ac:dyDescent="0.25">
      <c r="G59">
        <v>50</v>
      </c>
      <c r="H59" t="s">
        <v>191</v>
      </c>
    </row>
    <row r="60" spans="7:8" x14ac:dyDescent="0.25">
      <c r="G60">
        <v>51</v>
      </c>
      <c r="H60" t="s">
        <v>192</v>
      </c>
    </row>
    <row r="61" spans="7:8" x14ac:dyDescent="0.25">
      <c r="G61">
        <v>52</v>
      </c>
      <c r="H61" t="s">
        <v>193</v>
      </c>
    </row>
    <row r="62" spans="7:8" x14ac:dyDescent="0.25">
      <c r="G62">
        <v>53</v>
      </c>
      <c r="H62" t="s">
        <v>194</v>
      </c>
    </row>
    <row r="63" spans="7:8" x14ac:dyDescent="0.25">
      <c r="G63">
        <v>54</v>
      </c>
      <c r="H63" t="s">
        <v>195</v>
      </c>
    </row>
    <row r="64" spans="7:8" x14ac:dyDescent="0.25">
      <c r="G64">
        <v>55</v>
      </c>
      <c r="H64" t="s">
        <v>196</v>
      </c>
    </row>
    <row r="65" spans="7:8" x14ac:dyDescent="0.25">
      <c r="G65">
        <v>56</v>
      </c>
      <c r="H65" t="s">
        <v>197</v>
      </c>
    </row>
    <row r="66" spans="7:8" x14ac:dyDescent="0.25">
      <c r="G66">
        <v>57</v>
      </c>
      <c r="H66" t="s">
        <v>180</v>
      </c>
    </row>
    <row r="67" spans="7:8" x14ac:dyDescent="0.25">
      <c r="G67">
        <v>58</v>
      </c>
      <c r="H67" t="s">
        <v>198</v>
      </c>
    </row>
    <row r="68" spans="7:8" x14ac:dyDescent="0.25">
      <c r="G68">
        <v>59</v>
      </c>
      <c r="H68" t="s">
        <v>199</v>
      </c>
    </row>
    <row r="69" spans="7:8" x14ac:dyDescent="0.25">
      <c r="G69">
        <v>60</v>
      </c>
      <c r="H69" t="s">
        <v>200</v>
      </c>
    </row>
    <row r="70" spans="7:8" x14ac:dyDescent="0.25">
      <c r="G70">
        <v>61</v>
      </c>
      <c r="H70" t="s">
        <v>201</v>
      </c>
    </row>
    <row r="71" spans="7:8" x14ac:dyDescent="0.25">
      <c r="G71">
        <v>62</v>
      </c>
      <c r="H71" t="s">
        <v>202</v>
      </c>
    </row>
    <row r="72" spans="7:8" x14ac:dyDescent="0.25">
      <c r="G72">
        <v>63</v>
      </c>
      <c r="H72" t="s">
        <v>203</v>
      </c>
    </row>
    <row r="73" spans="7:8" x14ac:dyDescent="0.25">
      <c r="G73">
        <v>64</v>
      </c>
      <c r="H73" t="s">
        <v>204</v>
      </c>
    </row>
    <row r="74" spans="7:8" x14ac:dyDescent="0.25">
      <c r="G74">
        <v>65</v>
      </c>
      <c r="H74" t="s">
        <v>205</v>
      </c>
    </row>
    <row r="75" spans="7:8" x14ac:dyDescent="0.25">
      <c r="G75">
        <v>66</v>
      </c>
      <c r="H75" t="s">
        <v>206</v>
      </c>
    </row>
    <row r="76" spans="7:8" x14ac:dyDescent="0.25">
      <c r="G76">
        <v>67</v>
      </c>
      <c r="H76" t="s">
        <v>207</v>
      </c>
    </row>
    <row r="77" spans="7:8" x14ac:dyDescent="0.25">
      <c r="G77">
        <v>68</v>
      </c>
      <c r="H77" t="s">
        <v>208</v>
      </c>
    </row>
    <row r="78" spans="7:8" x14ac:dyDescent="0.25">
      <c r="G78">
        <v>69</v>
      </c>
      <c r="H78" t="s">
        <v>209</v>
      </c>
    </row>
    <row r="79" spans="7:8" x14ac:dyDescent="0.25">
      <c r="G79">
        <v>70</v>
      </c>
      <c r="H79" t="s">
        <v>210</v>
      </c>
    </row>
    <row r="80" spans="7:8" x14ac:dyDescent="0.25">
      <c r="G80">
        <v>71</v>
      </c>
      <c r="H80" t="s">
        <v>211</v>
      </c>
    </row>
    <row r="81" spans="7:8" x14ac:dyDescent="0.25">
      <c r="G81">
        <v>72</v>
      </c>
      <c r="H81" t="s">
        <v>212</v>
      </c>
    </row>
    <row r="82" spans="7:8" x14ac:dyDescent="0.25">
      <c r="G82">
        <v>73</v>
      </c>
      <c r="H82" t="s">
        <v>213</v>
      </c>
    </row>
    <row r="83" spans="7:8" x14ac:dyDescent="0.25">
      <c r="G83">
        <v>74</v>
      </c>
      <c r="H83" t="s">
        <v>214</v>
      </c>
    </row>
    <row r="84" spans="7:8" x14ac:dyDescent="0.25">
      <c r="G84">
        <v>75</v>
      </c>
      <c r="H84" t="s">
        <v>215</v>
      </c>
    </row>
    <row r="85" spans="7:8" x14ac:dyDescent="0.25">
      <c r="G85">
        <v>76</v>
      </c>
      <c r="H85" t="s">
        <v>216</v>
      </c>
    </row>
    <row r="86" spans="7:8" x14ac:dyDescent="0.25">
      <c r="G86">
        <v>77</v>
      </c>
      <c r="H86" t="s">
        <v>217</v>
      </c>
    </row>
    <row r="87" spans="7:8" x14ac:dyDescent="0.25">
      <c r="G87">
        <v>78</v>
      </c>
      <c r="H87" t="s">
        <v>218</v>
      </c>
    </row>
    <row r="88" spans="7:8" x14ac:dyDescent="0.25">
      <c r="G88">
        <v>79</v>
      </c>
      <c r="H88" t="s">
        <v>219</v>
      </c>
    </row>
    <row r="89" spans="7:8" x14ac:dyDescent="0.25">
      <c r="G89">
        <v>80</v>
      </c>
      <c r="H89" t="s">
        <v>220</v>
      </c>
    </row>
    <row r="90" spans="7:8" x14ac:dyDescent="0.25">
      <c r="G90">
        <v>81</v>
      </c>
      <c r="H90" t="s">
        <v>221</v>
      </c>
    </row>
    <row r="91" spans="7:8" x14ac:dyDescent="0.25">
      <c r="G91">
        <v>82</v>
      </c>
      <c r="H91" t="s">
        <v>222</v>
      </c>
    </row>
    <row r="92" spans="7:8" x14ac:dyDescent="0.25">
      <c r="G92">
        <v>83</v>
      </c>
      <c r="H92" t="s">
        <v>223</v>
      </c>
    </row>
    <row r="93" spans="7:8" x14ac:dyDescent="0.25">
      <c r="G93">
        <v>84</v>
      </c>
      <c r="H93" t="s">
        <v>224</v>
      </c>
    </row>
    <row r="94" spans="7:8" x14ac:dyDescent="0.25">
      <c r="G94">
        <v>85</v>
      </c>
      <c r="H94" t="s">
        <v>225</v>
      </c>
    </row>
    <row r="95" spans="7:8" x14ac:dyDescent="0.25">
      <c r="G95">
        <v>86</v>
      </c>
      <c r="H95" t="s">
        <v>226</v>
      </c>
    </row>
    <row r="96" spans="7:8" x14ac:dyDescent="0.25">
      <c r="G96">
        <v>87</v>
      </c>
      <c r="H96" t="s">
        <v>227</v>
      </c>
    </row>
    <row r="97" spans="7:8" x14ac:dyDescent="0.25">
      <c r="G97">
        <v>88</v>
      </c>
      <c r="H97" t="s">
        <v>228</v>
      </c>
    </row>
    <row r="98" spans="7:8" x14ac:dyDescent="0.25">
      <c r="G98">
        <v>89</v>
      </c>
      <c r="H98" t="s">
        <v>229</v>
      </c>
    </row>
    <row r="99" spans="7:8" x14ac:dyDescent="0.25">
      <c r="G99">
        <v>90</v>
      </c>
      <c r="H99" t="s">
        <v>230</v>
      </c>
    </row>
    <row r="100" spans="7:8" x14ac:dyDescent="0.25">
      <c r="G100">
        <v>91</v>
      </c>
      <c r="H100" t="s">
        <v>231</v>
      </c>
    </row>
    <row r="101" spans="7:8" x14ac:dyDescent="0.25">
      <c r="G101">
        <v>92</v>
      </c>
      <c r="H101" t="s">
        <v>232</v>
      </c>
    </row>
    <row r="102" spans="7:8" x14ac:dyDescent="0.25">
      <c r="G102">
        <v>93</v>
      </c>
      <c r="H102" t="s">
        <v>233</v>
      </c>
    </row>
    <row r="103" spans="7:8" x14ac:dyDescent="0.25">
      <c r="G103">
        <v>94</v>
      </c>
      <c r="H103" t="s">
        <v>234</v>
      </c>
    </row>
    <row r="104" spans="7:8" x14ac:dyDescent="0.25">
      <c r="G104">
        <v>95</v>
      </c>
      <c r="H104" t="s">
        <v>235</v>
      </c>
    </row>
    <row r="105" spans="7:8" x14ac:dyDescent="0.25">
      <c r="G105">
        <v>96</v>
      </c>
      <c r="H105" t="s">
        <v>236</v>
      </c>
    </row>
    <row r="106" spans="7:8" x14ac:dyDescent="0.25">
      <c r="G106">
        <v>97</v>
      </c>
      <c r="H106" t="s">
        <v>237</v>
      </c>
    </row>
    <row r="107" spans="7:8" x14ac:dyDescent="0.25">
      <c r="G107">
        <v>98</v>
      </c>
      <c r="H107" t="s">
        <v>238</v>
      </c>
    </row>
    <row r="108" spans="7:8" x14ac:dyDescent="0.25">
      <c r="G108">
        <v>99</v>
      </c>
      <c r="H108" t="s">
        <v>239</v>
      </c>
    </row>
    <row r="109" spans="7:8" x14ac:dyDescent="0.25">
      <c r="G109">
        <v>100</v>
      </c>
      <c r="H109" t="s">
        <v>240</v>
      </c>
    </row>
    <row r="110" spans="7:8" x14ac:dyDescent="0.25">
      <c r="G110">
        <v>101</v>
      </c>
      <c r="H110" t="s">
        <v>241</v>
      </c>
    </row>
    <row r="111" spans="7:8" x14ac:dyDescent="0.25">
      <c r="G111">
        <v>102</v>
      </c>
      <c r="H111" t="s">
        <v>242</v>
      </c>
    </row>
    <row r="112" spans="7:8" x14ac:dyDescent="0.25">
      <c r="G112">
        <v>103</v>
      </c>
      <c r="H112" t="s">
        <v>243</v>
      </c>
    </row>
    <row r="113" spans="7:8" x14ac:dyDescent="0.25">
      <c r="G113">
        <v>104</v>
      </c>
      <c r="H113" t="s">
        <v>19</v>
      </c>
    </row>
    <row r="114" spans="7:8" x14ac:dyDescent="0.25">
      <c r="G114">
        <v>105</v>
      </c>
      <c r="H114" t="s">
        <v>89</v>
      </c>
    </row>
    <row r="115" spans="7:8" x14ac:dyDescent="0.25">
      <c r="G115">
        <v>106</v>
      </c>
      <c r="H115" t="s">
        <v>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4D3DC-C059-41C6-A5BC-635B97BC4C38}">
  <dimension ref="A1:CK106"/>
  <sheetViews>
    <sheetView tabSelected="1" topLeftCell="A4" workbookViewId="0">
      <selection activeCell="C16" sqref="C16"/>
    </sheetView>
  </sheetViews>
  <sheetFormatPr defaultRowHeight="19.5" customHeight="1" x14ac:dyDescent="0.25"/>
  <cols>
    <col min="1" max="1" width="41.140625" bestFit="1" customWidth="1"/>
    <col min="3" max="3" width="56.140625" bestFit="1" customWidth="1"/>
    <col min="10" max="10" width="56.140625" bestFit="1" customWidth="1"/>
  </cols>
  <sheetData>
    <row r="1" spans="1:13" ht="19.5" customHeight="1" x14ac:dyDescent="0.25">
      <c r="A1" s="6" t="s">
        <v>336</v>
      </c>
      <c r="C1" t="s">
        <v>488</v>
      </c>
      <c r="I1" s="29" t="s">
        <v>337</v>
      </c>
      <c r="J1" s="29"/>
      <c r="K1" s="29"/>
    </row>
    <row r="2" spans="1:13" ht="19.5" customHeight="1" x14ac:dyDescent="0.25">
      <c r="A2" s="4" t="s">
        <v>0</v>
      </c>
      <c r="B2" s="16">
        <v>46</v>
      </c>
      <c r="C2" s="16" t="s">
        <v>374</v>
      </c>
      <c r="I2" s="15">
        <v>1</v>
      </c>
      <c r="J2" s="15" t="s">
        <v>148</v>
      </c>
      <c r="K2" s="15"/>
      <c r="L2" s="15"/>
    </row>
    <row r="3" spans="1:13" ht="19.5" customHeight="1" x14ac:dyDescent="0.25">
      <c r="A3" s="4" t="s">
        <v>1</v>
      </c>
      <c r="B3" s="16">
        <v>47</v>
      </c>
      <c r="C3" s="16" t="s">
        <v>375</v>
      </c>
      <c r="I3" s="12">
        <v>2</v>
      </c>
      <c r="J3" s="12" t="s">
        <v>0</v>
      </c>
      <c r="K3" s="12"/>
      <c r="L3" s="12"/>
      <c r="M3" s="12"/>
    </row>
    <row r="4" spans="1:13" ht="19.5" customHeight="1" x14ac:dyDescent="0.25">
      <c r="A4" s="4" t="s">
        <v>2</v>
      </c>
      <c r="B4" s="15">
        <v>106</v>
      </c>
      <c r="C4" s="15" t="s">
        <v>244</v>
      </c>
      <c r="I4" s="12">
        <v>3</v>
      </c>
      <c r="J4" s="12" t="s">
        <v>1</v>
      </c>
      <c r="K4" s="12"/>
      <c r="L4" s="12"/>
      <c r="M4" s="12"/>
    </row>
    <row r="5" spans="1:13" ht="19.5" customHeight="1" x14ac:dyDescent="0.25">
      <c r="A5" s="4" t="s">
        <v>3</v>
      </c>
      <c r="B5" s="16">
        <v>48</v>
      </c>
      <c r="C5" s="16" t="s">
        <v>489</v>
      </c>
      <c r="I5" s="12">
        <v>4</v>
      </c>
      <c r="J5" s="12" t="s">
        <v>7</v>
      </c>
      <c r="K5" s="12"/>
      <c r="L5" s="12"/>
      <c r="M5" s="12"/>
    </row>
    <row r="6" spans="1:13" ht="19.5" customHeight="1" x14ac:dyDescent="0.25">
      <c r="A6" s="4" t="s">
        <v>4</v>
      </c>
      <c r="B6" s="16">
        <v>49</v>
      </c>
      <c r="C6" s="16" t="s">
        <v>490</v>
      </c>
      <c r="I6" s="12">
        <v>5</v>
      </c>
      <c r="J6" s="12" t="s">
        <v>8</v>
      </c>
      <c r="K6" s="12"/>
      <c r="L6" s="12"/>
      <c r="M6" s="12"/>
    </row>
    <row r="7" spans="1:13" ht="19.5" customHeight="1" x14ac:dyDescent="0.25">
      <c r="A7" s="4" t="s">
        <v>5</v>
      </c>
      <c r="B7" s="16">
        <v>50</v>
      </c>
      <c r="C7" s="12" t="s">
        <v>526</v>
      </c>
      <c r="E7" t="s">
        <v>491</v>
      </c>
      <c r="I7" s="12">
        <v>6</v>
      </c>
      <c r="J7" s="12" t="s">
        <v>9</v>
      </c>
      <c r="K7" s="12"/>
      <c r="L7" s="12"/>
      <c r="M7" s="12"/>
    </row>
    <row r="8" spans="1:13" ht="19.5" customHeight="1" x14ac:dyDescent="0.25">
      <c r="A8" s="4" t="s">
        <v>6</v>
      </c>
      <c r="B8" s="16">
        <v>51</v>
      </c>
      <c r="C8" s="12" t="s">
        <v>527</v>
      </c>
      <c r="E8" s="16" t="s">
        <v>492</v>
      </c>
      <c r="I8" s="12">
        <v>7</v>
      </c>
      <c r="J8" s="12" t="s">
        <v>17</v>
      </c>
      <c r="K8" s="12"/>
      <c r="L8" s="12"/>
      <c r="M8" s="12"/>
    </row>
    <row r="9" spans="1:13" ht="19.5" customHeight="1" x14ac:dyDescent="0.25">
      <c r="A9" s="4" t="s">
        <v>7</v>
      </c>
      <c r="B9" s="16">
        <v>52</v>
      </c>
      <c r="C9" s="12" t="s">
        <v>527</v>
      </c>
      <c r="E9" s="16" t="s">
        <v>493</v>
      </c>
      <c r="I9" s="12">
        <v>8</v>
      </c>
      <c r="J9" s="12" t="s">
        <v>149</v>
      </c>
      <c r="K9" s="12"/>
      <c r="L9" s="12"/>
      <c r="M9" s="12"/>
    </row>
    <row r="10" spans="1:13" ht="19.5" customHeight="1" x14ac:dyDescent="0.25">
      <c r="A10" s="4" t="s">
        <v>8</v>
      </c>
      <c r="B10" s="13"/>
      <c r="C10" s="13" t="s">
        <v>338</v>
      </c>
      <c r="I10" s="12">
        <v>9</v>
      </c>
      <c r="J10" s="12" t="s">
        <v>150</v>
      </c>
      <c r="K10" s="12"/>
      <c r="L10" s="12"/>
      <c r="M10" s="12"/>
    </row>
    <row r="11" spans="1:13" ht="19.5" customHeight="1" x14ac:dyDescent="0.25">
      <c r="A11" s="4" t="s">
        <v>9</v>
      </c>
      <c r="B11" s="16">
        <v>53</v>
      </c>
      <c r="C11" s="16" t="s">
        <v>531</v>
      </c>
      <c r="E11" t="s">
        <v>531</v>
      </c>
      <c r="I11" s="12">
        <v>10</v>
      </c>
      <c r="J11" s="12" t="s">
        <v>151</v>
      </c>
      <c r="K11" s="12"/>
      <c r="L11" s="12"/>
      <c r="M11" s="12"/>
    </row>
    <row r="12" spans="1:13" ht="19.5" customHeight="1" x14ac:dyDescent="0.25">
      <c r="A12" s="4" t="s">
        <v>10</v>
      </c>
      <c r="B12" s="16">
        <v>54</v>
      </c>
      <c r="C12" s="12" t="s">
        <v>528</v>
      </c>
      <c r="E12" s="16" t="s">
        <v>494</v>
      </c>
      <c r="I12" s="12">
        <v>11</v>
      </c>
      <c r="J12" s="12" t="s">
        <v>152</v>
      </c>
      <c r="K12" s="12"/>
      <c r="L12" s="12"/>
      <c r="M12" s="12"/>
    </row>
    <row r="13" spans="1:13" ht="19.5" customHeight="1" x14ac:dyDescent="0.25">
      <c r="A13" s="4" t="s">
        <v>11</v>
      </c>
      <c r="B13" s="16">
        <v>55</v>
      </c>
      <c r="C13" s="16" t="s">
        <v>495</v>
      </c>
      <c r="D13" t="s">
        <v>485</v>
      </c>
      <c r="I13" s="12">
        <v>12</v>
      </c>
      <c r="J13" s="12" t="s">
        <v>153</v>
      </c>
      <c r="K13" s="12"/>
      <c r="L13" s="12"/>
      <c r="M13" s="12"/>
    </row>
    <row r="14" spans="1:13" ht="19.5" customHeight="1" x14ac:dyDescent="0.25">
      <c r="A14" s="4" t="s">
        <v>12</v>
      </c>
      <c r="B14" s="16">
        <v>56</v>
      </c>
      <c r="C14" s="12" t="s">
        <v>529</v>
      </c>
      <c r="E14" s="16" t="s">
        <v>428</v>
      </c>
      <c r="I14" s="12">
        <v>13</v>
      </c>
      <c r="J14" s="12" t="s">
        <v>154</v>
      </c>
      <c r="K14" s="12"/>
      <c r="L14" s="12"/>
      <c r="M14" s="12"/>
    </row>
    <row r="15" spans="1:13" ht="19.5" customHeight="1" x14ac:dyDescent="0.25">
      <c r="A15" s="4" t="s">
        <v>180</v>
      </c>
      <c r="B15" s="13">
        <v>57</v>
      </c>
      <c r="C15" s="13" t="s">
        <v>487</v>
      </c>
      <c r="D15" t="s">
        <v>486</v>
      </c>
      <c r="I15" s="12">
        <v>14</v>
      </c>
      <c r="J15" s="12" t="s">
        <v>155</v>
      </c>
      <c r="K15" s="12"/>
      <c r="L15" s="12"/>
      <c r="M15" s="12"/>
    </row>
    <row r="16" spans="1:13" ht="19.5" customHeight="1" x14ac:dyDescent="0.25">
      <c r="A16" s="4" t="s">
        <v>14</v>
      </c>
      <c r="B16" s="16">
        <v>58</v>
      </c>
      <c r="C16" s="16" t="s">
        <v>496</v>
      </c>
      <c r="I16" s="12">
        <v>15</v>
      </c>
      <c r="J16" s="12" t="s">
        <v>156</v>
      </c>
      <c r="K16" s="12"/>
      <c r="L16" s="12"/>
      <c r="M16" s="12"/>
    </row>
    <row r="17" spans="1:13" ht="19.5" customHeight="1" x14ac:dyDescent="0.25">
      <c r="A17" s="4" t="s">
        <v>15</v>
      </c>
      <c r="B17" s="16">
        <v>59</v>
      </c>
      <c r="C17" s="12" t="s">
        <v>530</v>
      </c>
      <c r="E17" s="16" t="s">
        <v>430</v>
      </c>
      <c r="I17" s="12">
        <v>16</v>
      </c>
      <c r="J17" s="12" t="s">
        <v>157</v>
      </c>
      <c r="K17" s="12"/>
      <c r="L17" s="12"/>
      <c r="M17" s="12"/>
    </row>
    <row r="18" spans="1:13" ht="19.5" customHeight="1" x14ac:dyDescent="0.25">
      <c r="A18" s="4" t="s">
        <v>16</v>
      </c>
      <c r="B18" s="16">
        <v>60</v>
      </c>
      <c r="C18" s="16" t="s">
        <v>431</v>
      </c>
      <c r="I18" s="12">
        <v>17</v>
      </c>
      <c r="J18" s="12" t="s">
        <v>158</v>
      </c>
      <c r="K18" s="12"/>
      <c r="L18" s="12"/>
      <c r="M18" s="12"/>
    </row>
    <row r="19" spans="1:13" ht="19.5" customHeight="1" x14ac:dyDescent="0.25">
      <c r="A19" s="4" t="s">
        <v>17</v>
      </c>
      <c r="B19" s="16">
        <v>61</v>
      </c>
      <c r="C19" s="16" t="s">
        <v>432</v>
      </c>
      <c r="I19" s="12">
        <v>18</v>
      </c>
      <c r="J19" s="12" t="s">
        <v>159</v>
      </c>
      <c r="K19" s="12"/>
      <c r="L19" s="12"/>
      <c r="M19" s="12"/>
    </row>
    <row r="20" spans="1:13" ht="19.5" customHeight="1" x14ac:dyDescent="0.25">
      <c r="A20" s="4" t="s">
        <v>18</v>
      </c>
      <c r="B20" s="16">
        <v>62</v>
      </c>
      <c r="C20" s="16" t="s">
        <v>433</v>
      </c>
      <c r="I20" s="12">
        <v>19</v>
      </c>
      <c r="J20" s="12" t="s">
        <v>160</v>
      </c>
      <c r="K20" s="12"/>
      <c r="L20" s="12"/>
      <c r="M20" s="12"/>
    </row>
    <row r="21" spans="1:13" ht="19.5" customHeight="1" x14ac:dyDescent="0.25">
      <c r="A21" s="4" t="s">
        <v>19</v>
      </c>
      <c r="B21" s="16">
        <v>63</v>
      </c>
      <c r="C21" s="16" t="s">
        <v>497</v>
      </c>
      <c r="I21" s="12">
        <v>20</v>
      </c>
      <c r="J21" s="12" t="s">
        <v>161</v>
      </c>
      <c r="K21" s="12"/>
      <c r="L21" s="12"/>
      <c r="M21" s="12"/>
    </row>
    <row r="22" spans="1:13" ht="19.5" customHeight="1" x14ac:dyDescent="0.25">
      <c r="A22" s="4" t="s">
        <v>20</v>
      </c>
      <c r="B22" s="16">
        <v>64</v>
      </c>
      <c r="C22" s="16" t="s">
        <v>498</v>
      </c>
      <c r="I22" s="12">
        <v>21</v>
      </c>
      <c r="J22" s="12" t="s">
        <v>162</v>
      </c>
      <c r="K22" s="12"/>
      <c r="L22" s="12"/>
      <c r="M22" s="12"/>
    </row>
    <row r="23" spans="1:13" ht="19.5" customHeight="1" x14ac:dyDescent="0.25">
      <c r="A23" s="4" t="s">
        <v>21</v>
      </c>
      <c r="B23" s="16">
        <v>65</v>
      </c>
      <c r="C23" s="16" t="s">
        <v>499</v>
      </c>
      <c r="I23" s="12">
        <v>22</v>
      </c>
      <c r="J23" s="12" t="s">
        <v>163</v>
      </c>
      <c r="K23" s="12"/>
      <c r="L23" s="12"/>
      <c r="M23" s="12"/>
    </row>
    <row r="24" spans="1:13" ht="19.5" customHeight="1" x14ac:dyDescent="0.25">
      <c r="A24" s="4" t="s">
        <v>22</v>
      </c>
      <c r="B24" s="16">
        <v>66</v>
      </c>
      <c r="C24" s="16" t="s">
        <v>500</v>
      </c>
      <c r="I24" s="12">
        <v>23</v>
      </c>
      <c r="J24" s="12" t="s">
        <v>164</v>
      </c>
      <c r="K24" s="12"/>
      <c r="L24" s="12"/>
      <c r="M24" s="12"/>
    </row>
    <row r="25" spans="1:13" ht="19.5" customHeight="1" x14ac:dyDescent="0.25">
      <c r="A25" s="4" t="s">
        <v>23</v>
      </c>
      <c r="B25" s="16">
        <v>67</v>
      </c>
      <c r="C25" s="16" t="s">
        <v>501</v>
      </c>
      <c r="I25" s="12">
        <v>24</v>
      </c>
      <c r="J25" s="12" t="s">
        <v>165</v>
      </c>
      <c r="K25" s="12"/>
      <c r="L25" s="12"/>
      <c r="M25" s="12"/>
    </row>
    <row r="26" spans="1:13" ht="19.5" customHeight="1" x14ac:dyDescent="0.25">
      <c r="A26" s="4" t="s">
        <v>24</v>
      </c>
      <c r="B26" s="16">
        <v>68</v>
      </c>
      <c r="C26" s="16" t="s">
        <v>502</v>
      </c>
      <c r="I26" s="12">
        <v>25</v>
      </c>
      <c r="J26" s="12" t="s">
        <v>166</v>
      </c>
      <c r="K26" s="12"/>
      <c r="L26" s="12"/>
      <c r="M26" s="12"/>
    </row>
    <row r="27" spans="1:13" ht="19.5" customHeight="1" x14ac:dyDescent="0.25">
      <c r="A27" s="4" t="s">
        <v>25</v>
      </c>
      <c r="B27" s="16">
        <v>69</v>
      </c>
      <c r="C27" s="16" t="s">
        <v>503</v>
      </c>
      <c r="I27" s="12">
        <v>26</v>
      </c>
      <c r="J27" s="12" t="s">
        <v>167</v>
      </c>
      <c r="K27" s="12"/>
      <c r="L27" s="12"/>
      <c r="M27" s="12"/>
    </row>
    <row r="28" spans="1:13" ht="19.5" customHeight="1" x14ac:dyDescent="0.25">
      <c r="A28" s="4" t="s">
        <v>26</v>
      </c>
      <c r="B28" s="16">
        <v>70</v>
      </c>
      <c r="C28" s="16" t="s">
        <v>504</v>
      </c>
      <c r="I28" s="12">
        <v>27</v>
      </c>
      <c r="J28" s="12" t="s">
        <v>168</v>
      </c>
      <c r="K28" s="12"/>
      <c r="L28" s="12"/>
      <c r="M28" s="12"/>
    </row>
    <row r="29" spans="1:13" ht="19.5" customHeight="1" x14ac:dyDescent="0.25">
      <c r="A29" s="4" t="s">
        <v>27</v>
      </c>
      <c r="B29" s="16">
        <v>71</v>
      </c>
      <c r="C29" s="16" t="s">
        <v>505</v>
      </c>
      <c r="I29" s="12">
        <v>28</v>
      </c>
      <c r="J29" s="12" t="s">
        <v>169</v>
      </c>
      <c r="K29" s="12"/>
      <c r="L29" s="12"/>
      <c r="M29" s="12"/>
    </row>
    <row r="30" spans="1:13" ht="19.5" customHeight="1" x14ac:dyDescent="0.25">
      <c r="A30" s="4" t="s">
        <v>28</v>
      </c>
      <c r="B30" s="16">
        <v>72</v>
      </c>
      <c r="C30" s="16" t="s">
        <v>506</v>
      </c>
      <c r="I30" s="12">
        <v>29</v>
      </c>
      <c r="J30" s="12" t="s">
        <v>170</v>
      </c>
      <c r="K30" s="12"/>
      <c r="L30" s="12"/>
      <c r="M30" s="12"/>
    </row>
    <row r="31" spans="1:13" ht="19.5" customHeight="1" x14ac:dyDescent="0.25">
      <c r="A31" s="4" t="s">
        <v>29</v>
      </c>
      <c r="B31" s="16">
        <v>73</v>
      </c>
      <c r="C31" s="16" t="s">
        <v>507</v>
      </c>
      <c r="I31" s="12">
        <v>30</v>
      </c>
      <c r="J31" s="12" t="s">
        <v>171</v>
      </c>
      <c r="K31" s="12"/>
      <c r="L31" s="12"/>
      <c r="M31" s="12"/>
    </row>
    <row r="32" spans="1:13" ht="19.5" customHeight="1" x14ac:dyDescent="0.25">
      <c r="A32" s="4" t="s">
        <v>30</v>
      </c>
      <c r="B32" s="16">
        <v>74</v>
      </c>
      <c r="C32" s="16" t="s">
        <v>508</v>
      </c>
      <c r="I32" s="12">
        <v>31</v>
      </c>
      <c r="J32" s="12" t="s">
        <v>172</v>
      </c>
      <c r="K32" s="12"/>
      <c r="L32" s="12"/>
      <c r="M32" s="12"/>
    </row>
    <row r="33" spans="1:13" ht="19.5" customHeight="1" x14ac:dyDescent="0.25">
      <c r="A33" s="4" t="s">
        <v>31</v>
      </c>
      <c r="B33" s="16">
        <v>75</v>
      </c>
      <c r="C33" s="16" t="s">
        <v>509</v>
      </c>
      <c r="I33" s="12">
        <v>32</v>
      </c>
      <c r="J33" s="12" t="s">
        <v>173</v>
      </c>
      <c r="K33" s="12"/>
      <c r="L33" s="12"/>
      <c r="M33" s="12"/>
    </row>
    <row r="34" spans="1:13" ht="19.5" customHeight="1" x14ac:dyDescent="0.25">
      <c r="A34" s="4" t="s">
        <v>32</v>
      </c>
      <c r="B34" s="16">
        <v>76</v>
      </c>
      <c r="C34" s="16" t="s">
        <v>510</v>
      </c>
      <c r="I34" s="12">
        <v>33</v>
      </c>
      <c r="J34" s="12" t="s">
        <v>174</v>
      </c>
      <c r="K34" s="12"/>
      <c r="L34" s="12"/>
      <c r="M34" s="12"/>
    </row>
    <row r="35" spans="1:13" ht="19.5" customHeight="1" x14ac:dyDescent="0.25">
      <c r="A35" s="4" t="s">
        <v>33</v>
      </c>
      <c r="B35" s="16">
        <v>77</v>
      </c>
      <c r="C35" s="16" t="s">
        <v>511</v>
      </c>
      <c r="I35" s="12">
        <v>34</v>
      </c>
      <c r="J35" s="12" t="s">
        <v>175</v>
      </c>
      <c r="K35" s="12"/>
      <c r="L35" s="12"/>
      <c r="M35" s="12"/>
    </row>
    <row r="36" spans="1:13" ht="19.5" customHeight="1" x14ac:dyDescent="0.25">
      <c r="A36" s="4" t="s">
        <v>34</v>
      </c>
      <c r="B36" s="16">
        <v>78</v>
      </c>
      <c r="C36" s="16" t="s">
        <v>512</v>
      </c>
      <c r="I36" s="12">
        <v>35</v>
      </c>
      <c r="J36" s="12" t="s">
        <v>176</v>
      </c>
      <c r="K36" s="12"/>
      <c r="L36" s="12"/>
      <c r="M36" s="12"/>
    </row>
    <row r="37" spans="1:13" ht="19.5" customHeight="1" x14ac:dyDescent="0.25">
      <c r="A37" s="4" t="s">
        <v>35</v>
      </c>
      <c r="B37" s="16">
        <v>79</v>
      </c>
      <c r="C37" s="16" t="s">
        <v>513</v>
      </c>
      <c r="I37" s="12">
        <v>36</v>
      </c>
      <c r="J37" s="12" t="s">
        <v>177</v>
      </c>
      <c r="K37" s="12"/>
      <c r="L37" s="12"/>
      <c r="M37" s="12"/>
    </row>
    <row r="38" spans="1:13" ht="19.5" customHeight="1" x14ac:dyDescent="0.25">
      <c r="A38" s="4" t="s">
        <v>36</v>
      </c>
      <c r="B38" s="16">
        <v>80</v>
      </c>
      <c r="C38" s="16" t="s">
        <v>451</v>
      </c>
      <c r="I38" s="12">
        <v>37</v>
      </c>
      <c r="J38" s="12" t="s">
        <v>178</v>
      </c>
      <c r="K38" s="12"/>
      <c r="L38" s="12"/>
      <c r="M38" s="12"/>
    </row>
    <row r="39" spans="1:13" ht="19.5" customHeight="1" x14ac:dyDescent="0.25">
      <c r="A39" s="4" t="s">
        <v>37</v>
      </c>
      <c r="B39" s="16">
        <v>81</v>
      </c>
      <c r="C39" s="16" t="s">
        <v>452</v>
      </c>
      <c r="I39" s="12">
        <v>38</v>
      </c>
      <c r="J39" s="12" t="s">
        <v>179</v>
      </c>
      <c r="K39" s="12"/>
      <c r="L39" s="12"/>
      <c r="M39" s="12"/>
    </row>
    <row r="40" spans="1:13" ht="19.5" customHeight="1" x14ac:dyDescent="0.25">
      <c r="A40" s="4" t="s">
        <v>38</v>
      </c>
      <c r="B40" s="16">
        <v>82</v>
      </c>
      <c r="C40" s="16" t="s">
        <v>453</v>
      </c>
      <c r="I40" s="12">
        <v>39</v>
      </c>
      <c r="J40" s="12" t="s">
        <v>180</v>
      </c>
      <c r="K40" s="12"/>
      <c r="L40" s="12"/>
      <c r="M40" s="12"/>
    </row>
    <row r="41" spans="1:13" ht="19.5" customHeight="1" x14ac:dyDescent="0.25">
      <c r="A41" s="4" t="s">
        <v>39</v>
      </c>
      <c r="B41" s="16">
        <v>83</v>
      </c>
      <c r="C41" s="16" t="s">
        <v>454</v>
      </c>
      <c r="I41" s="12">
        <v>40</v>
      </c>
      <c r="J41" s="12" t="s">
        <v>181</v>
      </c>
      <c r="K41" s="12"/>
      <c r="L41" s="12"/>
      <c r="M41" s="12"/>
    </row>
    <row r="42" spans="1:13" ht="19.5" customHeight="1" x14ac:dyDescent="0.25">
      <c r="A42" s="4" t="s">
        <v>40</v>
      </c>
      <c r="B42" s="16">
        <v>84</v>
      </c>
      <c r="C42" s="16" t="s">
        <v>514</v>
      </c>
      <c r="I42" s="12">
        <v>41</v>
      </c>
      <c r="J42" s="12" t="s">
        <v>182</v>
      </c>
      <c r="K42" s="12"/>
      <c r="L42" s="12"/>
      <c r="M42" s="12"/>
    </row>
    <row r="43" spans="1:13" ht="19.5" customHeight="1" x14ac:dyDescent="0.25">
      <c r="A43" s="4" t="s">
        <v>41</v>
      </c>
      <c r="B43" s="16">
        <v>87</v>
      </c>
      <c r="C43" s="16" t="s">
        <v>517</v>
      </c>
      <c r="I43" s="12">
        <v>42</v>
      </c>
      <c r="J43" s="12" t="s">
        <v>183</v>
      </c>
      <c r="K43" s="12"/>
      <c r="L43" s="12"/>
      <c r="M43" s="12"/>
    </row>
    <row r="44" spans="1:13" ht="19.5" customHeight="1" x14ac:dyDescent="0.25">
      <c r="A44" s="4" t="s">
        <v>42</v>
      </c>
      <c r="B44" s="16">
        <v>88</v>
      </c>
      <c r="C44" s="16" t="s">
        <v>518</v>
      </c>
      <c r="I44" s="12">
        <v>43</v>
      </c>
      <c r="J44" s="12" t="s">
        <v>184</v>
      </c>
      <c r="K44" s="12"/>
      <c r="L44" s="12"/>
      <c r="M44" s="12"/>
    </row>
    <row r="45" spans="1:13" ht="19.5" customHeight="1" x14ac:dyDescent="0.25">
      <c r="A45" s="4" t="s">
        <v>43</v>
      </c>
      <c r="B45" s="16">
        <v>89</v>
      </c>
      <c r="C45" s="16" t="s">
        <v>460</v>
      </c>
      <c r="I45" s="12">
        <v>44</v>
      </c>
      <c r="J45" s="12" t="s">
        <v>185</v>
      </c>
      <c r="K45" s="12"/>
      <c r="L45" s="12"/>
      <c r="M45" s="12"/>
    </row>
    <row r="46" spans="1:13" ht="19.5" customHeight="1" x14ac:dyDescent="0.25">
      <c r="A46" s="4" t="s">
        <v>44</v>
      </c>
      <c r="B46" s="16">
        <v>90</v>
      </c>
      <c r="C46" s="16" t="s">
        <v>461</v>
      </c>
      <c r="I46" s="12">
        <v>45</v>
      </c>
      <c r="J46" s="12" t="s">
        <v>186</v>
      </c>
      <c r="K46" s="12"/>
      <c r="L46" s="12"/>
      <c r="M46" s="12"/>
    </row>
    <row r="47" spans="1:13" ht="19.5" customHeight="1" x14ac:dyDescent="0.25">
      <c r="A47" s="4" t="s">
        <v>45</v>
      </c>
      <c r="B47" s="16">
        <v>91</v>
      </c>
      <c r="C47" s="16" t="s">
        <v>519</v>
      </c>
      <c r="I47" s="15">
        <v>104</v>
      </c>
      <c r="J47" s="15" t="s">
        <v>19</v>
      </c>
      <c r="K47" s="15"/>
    </row>
    <row r="48" spans="1:13" ht="19.5" customHeight="1" x14ac:dyDescent="0.25">
      <c r="A48" s="5" t="s">
        <v>46</v>
      </c>
      <c r="B48" s="16">
        <v>86</v>
      </c>
      <c r="C48" s="16" t="s">
        <v>516</v>
      </c>
      <c r="I48" s="15">
        <v>105</v>
      </c>
      <c r="J48" s="15" t="s">
        <v>89</v>
      </c>
      <c r="K48" s="15"/>
    </row>
    <row r="49" spans="1:11" ht="19.5" customHeight="1" x14ac:dyDescent="0.25">
      <c r="A49" s="4" t="s">
        <v>47</v>
      </c>
      <c r="B49" s="16">
        <v>85</v>
      </c>
      <c r="C49" s="16" t="s">
        <v>515</v>
      </c>
      <c r="I49" s="15">
        <v>106</v>
      </c>
      <c r="J49" s="15" t="s">
        <v>244</v>
      </c>
      <c r="K49" s="15"/>
    </row>
    <row r="50" spans="1:11" ht="19.5" customHeight="1" x14ac:dyDescent="0.25">
      <c r="A50" s="4" t="s">
        <v>48</v>
      </c>
      <c r="B50" s="16">
        <v>92</v>
      </c>
      <c r="C50" s="16" t="s">
        <v>520</v>
      </c>
    </row>
    <row r="51" spans="1:11" ht="19.5" customHeight="1" x14ac:dyDescent="0.25">
      <c r="A51" s="4" t="s">
        <v>49</v>
      </c>
      <c r="B51" s="16">
        <v>93</v>
      </c>
      <c r="C51" s="16" t="s">
        <v>464</v>
      </c>
    </row>
    <row r="52" spans="1:11" ht="19.5" customHeight="1" x14ac:dyDescent="0.25">
      <c r="A52" s="4" t="s">
        <v>50</v>
      </c>
      <c r="B52" s="16">
        <v>94</v>
      </c>
      <c r="C52" s="16" t="s">
        <v>465</v>
      </c>
    </row>
    <row r="53" spans="1:11" ht="19.5" customHeight="1" x14ac:dyDescent="0.25">
      <c r="A53" s="4" t="s">
        <v>51</v>
      </c>
      <c r="B53" s="16">
        <v>95</v>
      </c>
      <c r="C53" s="16" t="s">
        <v>466</v>
      </c>
    </row>
    <row r="54" spans="1:11" ht="19.5" customHeight="1" x14ac:dyDescent="0.25">
      <c r="A54" s="4" t="s">
        <v>52</v>
      </c>
      <c r="B54" s="16">
        <v>96</v>
      </c>
      <c r="C54" s="16" t="s">
        <v>467</v>
      </c>
    </row>
    <row r="55" spans="1:11" ht="19.5" customHeight="1" x14ac:dyDescent="0.25">
      <c r="A55" s="4" t="s">
        <v>53</v>
      </c>
      <c r="B55" s="16">
        <v>97</v>
      </c>
      <c r="C55" s="16" t="s">
        <v>468</v>
      </c>
    </row>
    <row r="56" spans="1:11" ht="19.5" customHeight="1" x14ac:dyDescent="0.25">
      <c r="A56" s="4" t="s">
        <v>54</v>
      </c>
      <c r="B56" s="16">
        <v>98</v>
      </c>
      <c r="C56" s="16" t="s">
        <v>469</v>
      </c>
    </row>
    <row r="57" spans="1:11" ht="19.5" customHeight="1" x14ac:dyDescent="0.25">
      <c r="A57" s="4" t="s">
        <v>55</v>
      </c>
      <c r="B57" s="16">
        <v>99</v>
      </c>
      <c r="C57" s="16" t="s">
        <v>521</v>
      </c>
    </row>
    <row r="58" spans="1:11" ht="19.5" customHeight="1" x14ac:dyDescent="0.25">
      <c r="A58" s="4" t="s">
        <v>56</v>
      </c>
      <c r="B58" s="17" t="s">
        <v>340</v>
      </c>
      <c r="C58" s="17" t="s">
        <v>340</v>
      </c>
    </row>
    <row r="59" spans="1:11" ht="19.5" customHeight="1" x14ac:dyDescent="0.25">
      <c r="A59" s="4" t="s">
        <v>57</v>
      </c>
      <c r="B59" s="17" t="s">
        <v>340</v>
      </c>
      <c r="C59" s="17" t="s">
        <v>340</v>
      </c>
    </row>
    <row r="60" spans="1:11" ht="19.5" customHeight="1" x14ac:dyDescent="0.25">
      <c r="A60" s="4" t="s">
        <v>58</v>
      </c>
      <c r="B60" s="17" t="s">
        <v>340</v>
      </c>
      <c r="C60" s="17" t="s">
        <v>340</v>
      </c>
    </row>
    <row r="61" spans="1:11" ht="19.5" customHeight="1" x14ac:dyDescent="0.25">
      <c r="A61" s="4" t="s">
        <v>59</v>
      </c>
      <c r="B61" s="16">
        <v>100</v>
      </c>
      <c r="C61" s="16" t="s">
        <v>522</v>
      </c>
    </row>
    <row r="62" spans="1:11" ht="19.5" customHeight="1" x14ac:dyDescent="0.25">
      <c r="A62" s="4" t="s">
        <v>60</v>
      </c>
      <c r="B62" s="17" t="s">
        <v>340</v>
      </c>
      <c r="C62" s="17" t="s">
        <v>340</v>
      </c>
    </row>
    <row r="63" spans="1:11" ht="19.5" customHeight="1" x14ac:dyDescent="0.25">
      <c r="A63" s="4" t="s">
        <v>61</v>
      </c>
      <c r="B63" s="17" t="s">
        <v>340</v>
      </c>
      <c r="C63" s="17" t="s">
        <v>340</v>
      </c>
    </row>
    <row r="64" spans="1:11" ht="19.5" customHeight="1" x14ac:dyDescent="0.25">
      <c r="A64" s="4" t="s">
        <v>62</v>
      </c>
      <c r="B64" s="16">
        <v>101</v>
      </c>
      <c r="C64" s="16" t="s">
        <v>523</v>
      </c>
    </row>
    <row r="65" spans="1:3" ht="19.5" customHeight="1" x14ac:dyDescent="0.25">
      <c r="A65" s="4" t="s">
        <v>63</v>
      </c>
      <c r="B65" s="16">
        <v>102</v>
      </c>
      <c r="C65" s="16" t="s">
        <v>524</v>
      </c>
    </row>
    <row r="66" spans="1:3" ht="19.5" customHeight="1" x14ac:dyDescent="0.25">
      <c r="A66" s="4" t="s">
        <v>64</v>
      </c>
      <c r="B66" s="17" t="s">
        <v>340</v>
      </c>
      <c r="C66" s="17" t="s">
        <v>340</v>
      </c>
    </row>
    <row r="67" spans="1:3" ht="19.5" customHeight="1" x14ac:dyDescent="0.25">
      <c r="A67" s="4" t="s">
        <v>65</v>
      </c>
      <c r="B67" s="17" t="s">
        <v>340</v>
      </c>
      <c r="C67" s="17" t="s">
        <v>340</v>
      </c>
    </row>
    <row r="68" spans="1:3" ht="19.5" customHeight="1" x14ac:dyDescent="0.25">
      <c r="A68" s="4" t="s">
        <v>66</v>
      </c>
      <c r="B68" s="17" t="s">
        <v>340</v>
      </c>
      <c r="C68" s="17" t="s">
        <v>340</v>
      </c>
    </row>
    <row r="69" spans="1:3" ht="19.5" customHeight="1" x14ac:dyDescent="0.25">
      <c r="A69" s="4" t="s">
        <v>67</v>
      </c>
      <c r="B69" s="17" t="s">
        <v>340</v>
      </c>
      <c r="C69" s="17" t="s">
        <v>340</v>
      </c>
    </row>
    <row r="70" spans="1:3" ht="19.5" customHeight="1" x14ac:dyDescent="0.25">
      <c r="A70" s="4" t="s">
        <v>68</v>
      </c>
      <c r="B70" s="17" t="s">
        <v>340</v>
      </c>
      <c r="C70" s="17" t="s">
        <v>340</v>
      </c>
    </row>
    <row r="71" spans="1:3" ht="19.5" customHeight="1" x14ac:dyDescent="0.25">
      <c r="A71" s="4" t="s">
        <v>69</v>
      </c>
      <c r="B71" s="17" t="s">
        <v>340</v>
      </c>
      <c r="C71" s="17" t="s">
        <v>340</v>
      </c>
    </row>
    <row r="72" spans="1:3" ht="19.5" customHeight="1" x14ac:dyDescent="0.25">
      <c r="A72" s="4" t="s">
        <v>70</v>
      </c>
      <c r="B72" s="17" t="s">
        <v>340</v>
      </c>
      <c r="C72" s="17" t="s">
        <v>340</v>
      </c>
    </row>
    <row r="73" spans="1:3" ht="19.5" customHeight="1" x14ac:dyDescent="0.25">
      <c r="A73" s="4" t="s">
        <v>71</v>
      </c>
      <c r="B73" s="17" t="s">
        <v>340</v>
      </c>
      <c r="C73" s="17" t="s">
        <v>340</v>
      </c>
    </row>
    <row r="74" spans="1:3" ht="19.5" customHeight="1" x14ac:dyDescent="0.25">
      <c r="A74" s="4" t="s">
        <v>72</v>
      </c>
      <c r="B74" s="17" t="s">
        <v>340</v>
      </c>
      <c r="C74" s="17" t="s">
        <v>340</v>
      </c>
    </row>
    <row r="75" spans="1:3" ht="19.5" customHeight="1" x14ac:dyDescent="0.25">
      <c r="A75" s="4" t="s">
        <v>73</v>
      </c>
      <c r="B75" s="17" t="s">
        <v>340</v>
      </c>
      <c r="C75" s="17" t="s">
        <v>340</v>
      </c>
    </row>
    <row r="76" spans="1:3" ht="19.5" customHeight="1" x14ac:dyDescent="0.25">
      <c r="A76" s="4" t="s">
        <v>74</v>
      </c>
      <c r="B76" s="17" t="s">
        <v>340</v>
      </c>
      <c r="C76" s="17" t="s">
        <v>340</v>
      </c>
    </row>
    <row r="77" spans="1:3" ht="19.5" customHeight="1" x14ac:dyDescent="0.25">
      <c r="A77" s="4" t="s">
        <v>75</v>
      </c>
      <c r="B77" s="17" t="s">
        <v>340</v>
      </c>
      <c r="C77" s="17" t="s">
        <v>340</v>
      </c>
    </row>
    <row r="78" spans="1:3" ht="19.5" customHeight="1" x14ac:dyDescent="0.25">
      <c r="A78" s="4" t="s">
        <v>76</v>
      </c>
      <c r="B78" s="17" t="s">
        <v>340</v>
      </c>
      <c r="C78" s="16"/>
    </row>
    <row r="79" spans="1:3" ht="19.5" customHeight="1" x14ac:dyDescent="0.25">
      <c r="A79" s="4" t="s">
        <v>77</v>
      </c>
      <c r="B79" s="17" t="s">
        <v>340</v>
      </c>
      <c r="C79" s="17"/>
    </row>
    <row r="80" spans="1:3" ht="19.5" customHeight="1" x14ac:dyDescent="0.25">
      <c r="A80" s="4" t="s">
        <v>78</v>
      </c>
      <c r="B80" s="15">
        <v>106</v>
      </c>
      <c r="C80" s="15" t="s">
        <v>244</v>
      </c>
    </row>
    <row r="81" spans="1:3" ht="19.5" customHeight="1" x14ac:dyDescent="0.25">
      <c r="A81" s="4" t="s">
        <v>79</v>
      </c>
      <c r="B81" s="16">
        <v>103</v>
      </c>
      <c r="C81" s="16" t="s">
        <v>525</v>
      </c>
    </row>
    <row r="82" spans="1:3" ht="19.5" customHeight="1" x14ac:dyDescent="0.25">
      <c r="A82" s="4" t="s">
        <v>80</v>
      </c>
      <c r="B82" s="17" t="s">
        <v>340</v>
      </c>
      <c r="C82" s="17"/>
    </row>
    <row r="83" spans="1:3" ht="19.5" customHeight="1" x14ac:dyDescent="0.25">
      <c r="A83" s="4" t="s">
        <v>81</v>
      </c>
      <c r="B83" s="17" t="s">
        <v>340</v>
      </c>
      <c r="C83" s="17"/>
    </row>
    <row r="84" spans="1:3" ht="19.5" customHeight="1" x14ac:dyDescent="0.25">
      <c r="A84" s="4" t="s">
        <v>82</v>
      </c>
      <c r="B84" s="17" t="s">
        <v>340</v>
      </c>
      <c r="C84" s="17"/>
    </row>
    <row r="85" spans="1:3" ht="19.5" customHeight="1" x14ac:dyDescent="0.25">
      <c r="A85" s="4" t="s">
        <v>83</v>
      </c>
      <c r="B85" s="17" t="s">
        <v>340</v>
      </c>
      <c r="C85" s="17"/>
    </row>
    <row r="86" spans="1:3" ht="19.5" customHeight="1" x14ac:dyDescent="0.25">
      <c r="A86" s="4" t="s">
        <v>84</v>
      </c>
      <c r="B86" s="17" t="s">
        <v>340</v>
      </c>
      <c r="C86" s="17"/>
    </row>
    <row r="87" spans="1:3" ht="19.5" customHeight="1" x14ac:dyDescent="0.25">
      <c r="A87" s="4" t="s">
        <v>85</v>
      </c>
      <c r="B87" s="17" t="s">
        <v>340</v>
      </c>
      <c r="C87" s="17"/>
    </row>
    <row r="88" spans="1:3" ht="19.5" customHeight="1" x14ac:dyDescent="0.25">
      <c r="A88" s="4" t="s">
        <v>86</v>
      </c>
      <c r="B88" s="17" t="s">
        <v>340</v>
      </c>
      <c r="C88" s="17"/>
    </row>
    <row r="89" spans="1:3" ht="19.5" customHeight="1" x14ac:dyDescent="0.25">
      <c r="A89" s="4" t="s">
        <v>87</v>
      </c>
      <c r="B89" s="17" t="s">
        <v>340</v>
      </c>
      <c r="C89" s="17"/>
    </row>
    <row r="90" spans="1:3" ht="19.5" customHeight="1" x14ac:dyDescent="0.25">
      <c r="A90" s="4" t="s">
        <v>88</v>
      </c>
      <c r="B90" s="17" t="s">
        <v>340</v>
      </c>
      <c r="C90" s="17"/>
    </row>
    <row r="104" spans="1:89" ht="19.5" customHeight="1" thickBo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</row>
    <row r="105" spans="1:89" ht="19.5" customHeight="1" thickBot="1" x14ac:dyDescent="0.3">
      <c r="G105" s="30"/>
      <c r="H105" s="31"/>
    </row>
    <row r="106" spans="1:89" ht="19.5" customHeight="1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20"/>
      <c r="AN106" s="19"/>
      <c r="AO106" s="19"/>
      <c r="AP106" s="19"/>
      <c r="AQ106" s="19"/>
      <c r="AR106" s="19"/>
      <c r="AS106" s="19"/>
      <c r="AT106" s="19"/>
      <c r="AU106" s="20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</row>
  </sheetData>
  <mergeCells count="2">
    <mergeCell ref="I1:K1"/>
    <mergeCell ref="G105:H10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07705-A628-46FA-B529-0BED5C7177E2}">
  <dimension ref="A2:DK227"/>
  <sheetViews>
    <sheetView topLeftCell="A207" workbookViewId="0">
      <selection activeCell="D116" sqref="D116:D227"/>
    </sheetView>
  </sheetViews>
  <sheetFormatPr defaultRowHeight="15" x14ac:dyDescent="0.25"/>
  <cols>
    <col min="2" max="2" width="38.7109375" customWidth="1"/>
    <col min="15" max="15" width="17.85546875" customWidth="1"/>
  </cols>
  <sheetData>
    <row r="2" spans="1:17" x14ac:dyDescent="0.25">
      <c r="A2">
        <v>1</v>
      </c>
      <c r="B2" t="s">
        <v>148</v>
      </c>
      <c r="C2">
        <v>123</v>
      </c>
      <c r="H2" s="4" t="s">
        <v>0</v>
      </c>
      <c r="I2" s="16">
        <v>46</v>
      </c>
      <c r="J2" s="16" t="s">
        <v>187</v>
      </c>
      <c r="M2">
        <v>46</v>
      </c>
      <c r="N2" t="s">
        <v>187</v>
      </c>
      <c r="O2" t="s">
        <v>341</v>
      </c>
      <c r="P2" s="1" t="s">
        <v>0</v>
      </c>
      <c r="Q2" s="24" t="s">
        <v>341</v>
      </c>
    </row>
    <row r="3" spans="1:17" x14ac:dyDescent="0.25">
      <c r="A3">
        <v>2</v>
      </c>
      <c r="B3" t="s">
        <v>0</v>
      </c>
      <c r="C3" t="s">
        <v>341</v>
      </c>
      <c r="H3" s="4" t="s">
        <v>1</v>
      </c>
      <c r="I3" s="16">
        <v>47</v>
      </c>
      <c r="J3" s="16" t="s">
        <v>188</v>
      </c>
      <c r="M3">
        <v>47</v>
      </c>
      <c r="N3" t="s">
        <v>188</v>
      </c>
      <c r="O3">
        <v>9382277896</v>
      </c>
      <c r="P3" s="2" t="s">
        <v>1</v>
      </c>
      <c r="Q3" s="24" t="s">
        <v>358</v>
      </c>
    </row>
    <row r="4" spans="1:17" ht="30" x14ac:dyDescent="0.25">
      <c r="A4">
        <v>3</v>
      </c>
      <c r="B4" t="s">
        <v>1</v>
      </c>
      <c r="C4">
        <v>9382277896</v>
      </c>
      <c r="H4" s="4" t="s">
        <v>2</v>
      </c>
      <c r="I4" s="15">
        <v>106</v>
      </c>
      <c r="J4" s="15" t="s">
        <v>244</v>
      </c>
      <c r="M4">
        <f>VLOOKUP(I4,$A$2:$C$108,1,FALSE)</f>
        <v>106</v>
      </c>
      <c r="N4" s="28" t="str">
        <f>VLOOKUP($I4,$A$2:$C$108,2,FALSE)</f>
        <v>Entry_Status</v>
      </c>
      <c r="O4" s="28" t="str">
        <f>VLOOKUP($I4,$A$2:$C$108,3,FALSE)</f>
        <v>Submitted</v>
      </c>
      <c r="P4" s="1" t="s">
        <v>2</v>
      </c>
      <c r="Q4" s="25" t="s">
        <v>342</v>
      </c>
    </row>
    <row r="5" spans="1:17" ht="45" x14ac:dyDescent="0.25">
      <c r="A5">
        <v>4</v>
      </c>
      <c r="B5" t="s">
        <v>7</v>
      </c>
      <c r="C5" t="s">
        <v>342</v>
      </c>
      <c r="H5" s="4" t="s">
        <v>3</v>
      </c>
      <c r="I5" s="16">
        <v>48</v>
      </c>
      <c r="J5" s="16" t="s">
        <v>189</v>
      </c>
      <c r="M5">
        <f t="shared" ref="M5:M68" si="0">VLOOKUP(I5,$A$2:$C$108,1,FALSE)</f>
        <v>48</v>
      </c>
      <c r="N5" s="28" t="str">
        <f t="shared" ref="N5:N68" si="1">VLOOKUP($I5,$A$2:$C$108,2,FALSE)</f>
        <v>Type of Merchant</v>
      </c>
      <c r="O5" s="28" t="str">
        <f t="shared" ref="O5:O68" si="2">VLOOKUP($I5,$A$2:$C$108,3,FALSE)</f>
        <v>Active</v>
      </c>
      <c r="P5" s="1" t="s">
        <v>3</v>
      </c>
      <c r="Q5" s="24"/>
    </row>
    <row r="6" spans="1:17" ht="30" x14ac:dyDescent="0.25">
      <c r="A6">
        <v>5</v>
      </c>
      <c r="B6" t="s">
        <v>8</v>
      </c>
      <c r="H6" s="4" t="s">
        <v>4</v>
      </c>
      <c r="I6" s="16">
        <v>49</v>
      </c>
      <c r="J6" s="16" t="s">
        <v>190</v>
      </c>
      <c r="M6">
        <f t="shared" si="0"/>
        <v>49</v>
      </c>
      <c r="N6" s="28" t="str">
        <f t="shared" si="1"/>
        <v>Completed Visits</v>
      </c>
      <c r="O6" s="28" t="str">
        <f t="shared" si="2"/>
        <v>Yes</v>
      </c>
      <c r="P6" s="1" t="s">
        <v>4</v>
      </c>
      <c r="Q6" s="24" t="s">
        <v>343</v>
      </c>
    </row>
    <row r="7" spans="1:17" ht="45" x14ac:dyDescent="0.25">
      <c r="A7">
        <v>6</v>
      </c>
      <c r="B7" t="s">
        <v>9</v>
      </c>
      <c r="C7" s="14" t="s">
        <v>343</v>
      </c>
      <c r="H7" s="4" t="s">
        <v>5</v>
      </c>
      <c r="I7" s="16">
        <v>50</v>
      </c>
      <c r="J7" s="16" t="s">
        <v>191</v>
      </c>
      <c r="M7">
        <f t="shared" si="0"/>
        <v>50</v>
      </c>
      <c r="N7" s="28" t="str">
        <f t="shared" si="1"/>
        <v>Current State Name</v>
      </c>
      <c r="O7" s="28">
        <f t="shared" si="2"/>
        <v>0</v>
      </c>
      <c r="P7" s="1" t="s">
        <v>5</v>
      </c>
      <c r="Q7" s="24" t="s">
        <v>344</v>
      </c>
    </row>
    <row r="8" spans="1:17" ht="30" x14ac:dyDescent="0.25">
      <c r="A8">
        <v>7</v>
      </c>
      <c r="B8" t="s">
        <v>17</v>
      </c>
      <c r="C8" t="s">
        <v>344</v>
      </c>
      <c r="H8" s="4" t="s">
        <v>6</v>
      </c>
      <c r="I8" s="16">
        <v>51</v>
      </c>
      <c r="J8" s="16" t="s">
        <v>192</v>
      </c>
      <c r="M8">
        <f t="shared" si="0"/>
        <v>51</v>
      </c>
      <c r="N8" s="28" t="str">
        <f t="shared" si="1"/>
        <v>Partner Name</v>
      </c>
      <c r="O8" s="28" t="str">
        <f t="shared" si="2"/>
        <v>EVERTEC POPULAR MERCHANT</v>
      </c>
      <c r="P8" s="1" t="s">
        <v>6</v>
      </c>
      <c r="Q8" s="24" t="s">
        <v>341</v>
      </c>
    </row>
    <row r="9" spans="1:17" ht="30" x14ac:dyDescent="0.25">
      <c r="A9">
        <v>8</v>
      </c>
      <c r="B9" t="s">
        <v>149</v>
      </c>
      <c r="C9" t="s">
        <v>341</v>
      </c>
      <c r="H9" s="4" t="s">
        <v>7</v>
      </c>
      <c r="I9" s="16">
        <v>52</v>
      </c>
      <c r="J9" s="16" t="s">
        <v>193</v>
      </c>
      <c r="M9">
        <f t="shared" si="0"/>
        <v>52</v>
      </c>
      <c r="N9" s="28" t="str">
        <f t="shared" si="1"/>
        <v>Record DMA</v>
      </c>
      <c r="O9" s="28" t="str">
        <f t="shared" si="2"/>
        <v>CIDRA</v>
      </c>
      <c r="P9" s="1" t="s">
        <v>7</v>
      </c>
      <c r="Q9" s="24" t="s">
        <v>359</v>
      </c>
    </row>
    <row r="10" spans="1:17" x14ac:dyDescent="0.25">
      <c r="A10">
        <v>9</v>
      </c>
      <c r="B10" t="s">
        <v>150</v>
      </c>
      <c r="C10">
        <v>0</v>
      </c>
      <c r="H10" s="4" t="s">
        <v>8</v>
      </c>
      <c r="I10" s="13"/>
      <c r="J10" s="13" t="s">
        <v>338</v>
      </c>
      <c r="M10" t="e">
        <f t="shared" si="0"/>
        <v>#N/A</v>
      </c>
      <c r="N10" s="28" t="e">
        <f t="shared" si="1"/>
        <v>#N/A</v>
      </c>
      <c r="O10" s="28" t="e">
        <f t="shared" si="2"/>
        <v>#N/A</v>
      </c>
      <c r="P10" s="1" t="s">
        <v>8</v>
      </c>
      <c r="Q10" s="24" t="s">
        <v>94</v>
      </c>
    </row>
    <row r="11" spans="1:17" ht="30" x14ac:dyDescent="0.25">
      <c r="A11">
        <v>10</v>
      </c>
      <c r="B11" t="s">
        <v>151</v>
      </c>
      <c r="C11" t="s">
        <v>345</v>
      </c>
      <c r="H11" s="4" t="s">
        <v>9</v>
      </c>
      <c r="I11" s="16">
        <v>53</v>
      </c>
      <c r="J11" s="16" t="s">
        <v>194</v>
      </c>
      <c r="M11">
        <f t="shared" si="0"/>
        <v>53</v>
      </c>
      <c r="N11" s="28" t="str">
        <f t="shared" si="1"/>
        <v>Merchant City</v>
      </c>
      <c r="O11" s="28" t="str">
        <f t="shared" si="2"/>
        <v>CIDRA</v>
      </c>
      <c r="P11" s="2" t="s">
        <v>9</v>
      </c>
      <c r="Q11" s="24" t="s">
        <v>251</v>
      </c>
    </row>
    <row r="12" spans="1:17" ht="45" x14ac:dyDescent="0.25">
      <c r="A12">
        <v>11</v>
      </c>
      <c r="B12" t="s">
        <v>152</v>
      </c>
      <c r="C12" t="s">
        <v>251</v>
      </c>
      <c r="H12" s="4" t="s">
        <v>10</v>
      </c>
      <c r="I12" s="16">
        <v>54</v>
      </c>
      <c r="J12" s="16" t="s">
        <v>195</v>
      </c>
      <c r="M12">
        <f t="shared" si="0"/>
        <v>54</v>
      </c>
      <c r="N12" s="28" t="str">
        <f t="shared" si="1"/>
        <v>Merchant Zip Code</v>
      </c>
      <c r="O12" s="28">
        <f t="shared" si="2"/>
        <v>739</v>
      </c>
      <c r="P12" s="1" t="s">
        <v>10</v>
      </c>
      <c r="Q12" s="24" t="s">
        <v>252</v>
      </c>
    </row>
    <row r="13" spans="1:17" ht="45" x14ac:dyDescent="0.25">
      <c r="A13">
        <v>12</v>
      </c>
      <c r="B13" t="s">
        <v>153</v>
      </c>
      <c r="C13" t="s">
        <v>252</v>
      </c>
      <c r="H13" s="4" t="s">
        <v>11</v>
      </c>
      <c r="I13" s="16">
        <v>55</v>
      </c>
      <c r="J13" s="16" t="s">
        <v>196</v>
      </c>
      <c r="M13">
        <f t="shared" si="0"/>
        <v>55</v>
      </c>
      <c r="N13" s="28" t="str">
        <f t="shared" si="1"/>
        <v>Merchant Legal Name</v>
      </c>
      <c r="O13" s="28" t="str">
        <f t="shared" si="2"/>
        <v>AIDA CORP</v>
      </c>
      <c r="P13" s="1" t="s">
        <v>11</v>
      </c>
      <c r="Q13" s="24" t="s">
        <v>346</v>
      </c>
    </row>
    <row r="14" spans="1:17" ht="30" x14ac:dyDescent="0.25">
      <c r="A14">
        <v>13</v>
      </c>
      <c r="B14" t="s">
        <v>154</v>
      </c>
      <c r="C14" t="s">
        <v>346</v>
      </c>
      <c r="H14" s="4" t="s">
        <v>12</v>
      </c>
      <c r="I14" s="16">
        <v>56</v>
      </c>
      <c r="J14" s="16" t="s">
        <v>197</v>
      </c>
      <c r="M14">
        <f t="shared" si="0"/>
        <v>56</v>
      </c>
      <c r="N14" s="28" t="str">
        <f t="shared" si="1"/>
        <v>Merchant Inactive</v>
      </c>
      <c r="O14" s="28" t="str">
        <f t="shared" si="2"/>
        <v>Yes</v>
      </c>
      <c r="P14" s="1" t="s">
        <v>12</v>
      </c>
      <c r="Q14" s="24" t="s">
        <v>253</v>
      </c>
    </row>
    <row r="15" spans="1:17" ht="90" x14ac:dyDescent="0.25">
      <c r="A15">
        <v>14</v>
      </c>
      <c r="B15" t="s">
        <v>155</v>
      </c>
      <c r="C15" t="s">
        <v>253</v>
      </c>
      <c r="H15" s="4" t="s">
        <v>13</v>
      </c>
      <c r="I15" s="13">
        <v>57</v>
      </c>
      <c r="J15" s="13" t="s">
        <v>180</v>
      </c>
      <c r="M15">
        <f t="shared" si="0"/>
        <v>57</v>
      </c>
      <c r="N15" s="28" t="str">
        <f t="shared" si="1"/>
        <v>Type of Relationship with Processor/â€‹ Bank</v>
      </c>
      <c r="O15" s="28" t="str">
        <f t="shared" si="2"/>
        <v>Existing with a partner - new to Amex</v>
      </c>
      <c r="P15" s="1" t="s">
        <v>13</v>
      </c>
      <c r="Q15" s="26" t="s">
        <v>360</v>
      </c>
    </row>
    <row r="16" spans="1:17" ht="45" x14ac:dyDescent="0.25">
      <c r="A16">
        <v>15</v>
      </c>
      <c r="B16" t="s">
        <v>156</v>
      </c>
      <c r="C16">
        <v>8099</v>
      </c>
      <c r="H16" s="4" t="s">
        <v>14</v>
      </c>
      <c r="I16" s="16">
        <v>58</v>
      </c>
      <c r="J16" s="16" t="s">
        <v>198</v>
      </c>
      <c r="M16">
        <f t="shared" si="0"/>
        <v>58</v>
      </c>
      <c r="N16" s="28" t="str">
        <f t="shared" si="1"/>
        <v>Source Create Date</v>
      </c>
      <c r="O16" s="28">
        <f t="shared" si="2"/>
        <v>45234</v>
      </c>
      <c r="P16" s="1" t="s">
        <v>14</v>
      </c>
      <c r="Q16" s="24" t="s">
        <v>347</v>
      </c>
    </row>
    <row r="17" spans="1:17" ht="45" x14ac:dyDescent="0.25">
      <c r="A17">
        <v>16</v>
      </c>
      <c r="B17" t="s">
        <v>157</v>
      </c>
      <c r="C17" t="s">
        <v>347</v>
      </c>
      <c r="H17" s="4" t="s">
        <v>15</v>
      </c>
      <c r="I17" s="16">
        <v>59</v>
      </c>
      <c r="J17" s="16" t="s">
        <v>199</v>
      </c>
      <c r="M17">
        <f t="shared" si="0"/>
        <v>59</v>
      </c>
      <c r="N17" s="28" t="str">
        <f t="shared" si="1"/>
        <v>Merchant Portfolio</v>
      </c>
      <c r="O17" s="28" t="str">
        <f t="shared" si="2"/>
        <v>Optblue</v>
      </c>
      <c r="P17" s="1" t="s">
        <v>15</v>
      </c>
      <c r="Q17" s="24" t="s">
        <v>361</v>
      </c>
    </row>
    <row r="18" spans="1:17" ht="45" x14ac:dyDescent="0.25">
      <c r="A18">
        <v>17</v>
      </c>
      <c r="B18" t="s">
        <v>158</v>
      </c>
      <c r="C18">
        <v>9380500950</v>
      </c>
      <c r="H18" s="4" t="s">
        <v>16</v>
      </c>
      <c r="I18" s="16">
        <v>60</v>
      </c>
      <c r="J18" s="16" t="s">
        <v>200</v>
      </c>
      <c r="M18">
        <f t="shared" si="0"/>
        <v>60</v>
      </c>
      <c r="N18" s="28" t="str">
        <f t="shared" si="1"/>
        <v>Merchant Industry Name</v>
      </c>
      <c r="O18" s="28" t="str">
        <f t="shared" si="2"/>
        <v>CONSTRUCTION</v>
      </c>
      <c r="P18" s="1" t="s">
        <v>16</v>
      </c>
      <c r="Q18" s="24" t="s">
        <v>348</v>
      </c>
    </row>
    <row r="19" spans="1:17" ht="45" x14ac:dyDescent="0.25">
      <c r="A19">
        <v>18</v>
      </c>
      <c r="B19" t="s">
        <v>159</v>
      </c>
      <c r="C19" t="s">
        <v>348</v>
      </c>
      <c r="H19" s="4" t="s">
        <v>17</v>
      </c>
      <c r="I19" s="16">
        <v>61</v>
      </c>
      <c r="J19" s="16" t="s">
        <v>201</v>
      </c>
      <c r="M19">
        <f t="shared" si="0"/>
        <v>61</v>
      </c>
      <c r="N19" s="28" t="str">
        <f t="shared" si="1"/>
        <v>Specialty Lead Type</v>
      </c>
      <c r="O19" s="28">
        <f t="shared" si="2"/>
        <v>0</v>
      </c>
      <c r="P19" s="1" t="s">
        <v>17</v>
      </c>
      <c r="Q19" s="24" t="s">
        <v>362</v>
      </c>
    </row>
    <row r="20" spans="1:17" x14ac:dyDescent="0.25">
      <c r="A20">
        <v>19</v>
      </c>
      <c r="B20" t="s">
        <v>160</v>
      </c>
      <c r="C20">
        <v>21296.240000000002</v>
      </c>
      <c r="H20" s="4" t="s">
        <v>18</v>
      </c>
      <c r="I20" s="16">
        <v>62</v>
      </c>
      <c r="J20" s="16" t="s">
        <v>202</v>
      </c>
      <c r="M20">
        <f t="shared" si="0"/>
        <v>62</v>
      </c>
      <c r="N20" s="28" t="str">
        <f t="shared" si="1"/>
        <v>Lead List</v>
      </c>
      <c r="O20" s="28" t="str">
        <f t="shared" si="2"/>
        <v>PR_112025ACT</v>
      </c>
      <c r="P20" s="1" t="s">
        <v>18</v>
      </c>
      <c r="Q20" s="24" t="s">
        <v>120</v>
      </c>
    </row>
    <row r="21" spans="1:17" ht="30" x14ac:dyDescent="0.25">
      <c r="A21">
        <v>20</v>
      </c>
      <c r="B21" t="s">
        <v>161</v>
      </c>
      <c r="C21" t="s">
        <v>120</v>
      </c>
      <c r="H21" s="4" t="s">
        <v>19</v>
      </c>
      <c r="I21" s="16">
        <v>63</v>
      </c>
      <c r="J21" s="16" t="s">
        <v>203</v>
      </c>
      <c r="M21">
        <f t="shared" si="0"/>
        <v>63</v>
      </c>
      <c r="N21" s="28" t="str">
        <f t="shared" si="1"/>
        <v>Record Owner</v>
      </c>
      <c r="O21" s="28">
        <f t="shared" si="2"/>
        <v>0</v>
      </c>
      <c r="P21" s="1" t="s">
        <v>19</v>
      </c>
      <c r="Q21" s="24" t="s">
        <v>358</v>
      </c>
    </row>
    <row r="22" spans="1:17" ht="30" x14ac:dyDescent="0.25">
      <c r="A22">
        <v>21</v>
      </c>
      <c r="B22" t="s">
        <v>162</v>
      </c>
      <c r="C22">
        <v>9382277896</v>
      </c>
      <c r="H22" s="4" t="s">
        <v>20</v>
      </c>
      <c r="I22" s="16">
        <v>64</v>
      </c>
      <c r="J22" s="16" t="s">
        <v>204</v>
      </c>
      <c r="M22">
        <f t="shared" si="0"/>
        <v>64</v>
      </c>
      <c r="N22" s="28" t="str">
        <f t="shared" si="1"/>
        <v>Agent Name</v>
      </c>
      <c r="O22" s="28" t="str">
        <f t="shared" si="2"/>
        <v>Belmarie Rosa</v>
      </c>
      <c r="P22" s="1" t="s">
        <v>20</v>
      </c>
      <c r="Q22" s="24"/>
    </row>
    <row r="23" spans="1:17" ht="75" x14ac:dyDescent="0.25">
      <c r="A23">
        <v>22</v>
      </c>
      <c r="B23" t="s">
        <v>163</v>
      </c>
      <c r="H23" s="4" t="s">
        <v>21</v>
      </c>
      <c r="I23" s="16">
        <v>65</v>
      </c>
      <c r="J23" s="16" t="s">
        <v>205</v>
      </c>
      <c r="M23">
        <f t="shared" si="0"/>
        <v>65</v>
      </c>
      <c r="N23" s="28" t="str">
        <f t="shared" si="1"/>
        <v>What Exterior POP Seen(Organic)</v>
      </c>
      <c r="O23" s="28" t="str">
        <f t="shared" si="2"/>
        <v>AMEX POP Only</v>
      </c>
      <c r="P23" s="1" t="s">
        <v>21</v>
      </c>
      <c r="Q23" s="24"/>
    </row>
    <row r="24" spans="1:17" ht="105" x14ac:dyDescent="0.25">
      <c r="A24">
        <v>23</v>
      </c>
      <c r="B24" t="s">
        <v>164</v>
      </c>
      <c r="H24" s="4" t="s">
        <v>22</v>
      </c>
      <c r="I24" s="16">
        <v>66</v>
      </c>
      <c r="J24" s="16" t="s">
        <v>206</v>
      </c>
      <c r="M24">
        <f t="shared" si="0"/>
        <v>66</v>
      </c>
      <c r="N24" s="28" t="str">
        <f t="shared" si="1"/>
        <v>Was Organic Amex POP In Good Condition</v>
      </c>
      <c r="O24" s="28" t="str">
        <f t="shared" si="2"/>
        <v>Yes</v>
      </c>
      <c r="P24" s="1" t="s">
        <v>22</v>
      </c>
      <c r="Q24" s="24" t="s">
        <v>363</v>
      </c>
    </row>
    <row r="25" spans="1:17" ht="75" x14ac:dyDescent="0.25">
      <c r="A25">
        <v>24</v>
      </c>
      <c r="B25" t="s">
        <v>165</v>
      </c>
      <c r="C25">
        <v>111052</v>
      </c>
      <c r="H25" s="4" t="s">
        <v>23</v>
      </c>
      <c r="I25" s="16">
        <v>67</v>
      </c>
      <c r="J25" s="16" t="s">
        <v>207</v>
      </c>
      <c r="M25">
        <f t="shared" si="0"/>
        <v>67</v>
      </c>
      <c r="N25" s="28" t="str">
        <f t="shared" si="1"/>
        <v>What Interior POP Seen(Organic)</v>
      </c>
      <c r="O25" s="28" t="str">
        <f t="shared" si="2"/>
        <v>AMEX POP Only</v>
      </c>
      <c r="P25" s="1" t="s">
        <v>23</v>
      </c>
      <c r="Q25" s="24" t="s">
        <v>91</v>
      </c>
    </row>
    <row r="26" spans="1:17" ht="75" x14ac:dyDescent="0.25">
      <c r="A26">
        <v>25</v>
      </c>
      <c r="B26" t="s">
        <v>166</v>
      </c>
      <c r="C26" t="s">
        <v>91</v>
      </c>
      <c r="H26" s="4" t="s">
        <v>24</v>
      </c>
      <c r="I26" s="16">
        <v>68</v>
      </c>
      <c r="J26" s="16" t="s">
        <v>208</v>
      </c>
      <c r="M26">
        <f t="shared" si="0"/>
        <v>68</v>
      </c>
      <c r="N26" s="28" t="str">
        <f t="shared" si="1"/>
        <v>Was Contactless POP Displayed</v>
      </c>
      <c r="O26" s="28" t="str">
        <f t="shared" si="2"/>
        <v>Yes</v>
      </c>
      <c r="P26" s="1" t="s">
        <v>24</v>
      </c>
      <c r="Q26" s="24" t="s">
        <v>349</v>
      </c>
    </row>
    <row r="27" spans="1:17" ht="75" x14ac:dyDescent="0.25">
      <c r="A27">
        <v>26</v>
      </c>
      <c r="B27" t="s">
        <v>167</v>
      </c>
      <c r="C27" t="s">
        <v>349</v>
      </c>
      <c r="H27" s="4" t="s">
        <v>25</v>
      </c>
      <c r="I27" s="16">
        <v>69</v>
      </c>
      <c r="J27" s="16" t="s">
        <v>209</v>
      </c>
      <c r="M27">
        <f t="shared" si="0"/>
        <v>69</v>
      </c>
      <c r="N27" s="28" t="str">
        <f t="shared" si="1"/>
        <v>Did You Observe Any External Payment</v>
      </c>
      <c r="O27" s="28" t="str">
        <f t="shared" si="2"/>
        <v>Yes</v>
      </c>
      <c r="P27" s="1" t="s">
        <v>25</v>
      </c>
      <c r="Q27" s="24" t="s">
        <v>364</v>
      </c>
    </row>
    <row r="28" spans="1:17" ht="75" x14ac:dyDescent="0.25">
      <c r="A28">
        <v>27</v>
      </c>
      <c r="B28" t="s">
        <v>168</v>
      </c>
      <c r="C28">
        <v>4549106833428</v>
      </c>
      <c r="H28" s="4" t="s">
        <v>26</v>
      </c>
      <c r="I28" s="16">
        <v>70</v>
      </c>
      <c r="J28" s="16" t="s">
        <v>210</v>
      </c>
      <c r="M28">
        <f t="shared" si="0"/>
        <v>70</v>
      </c>
      <c r="N28" s="28" t="str">
        <f t="shared" si="1"/>
        <v>What External Payment Acceptance</v>
      </c>
      <c r="O28" s="28" t="str">
        <f t="shared" si="2"/>
        <v>ATM Machine</v>
      </c>
      <c r="P28" s="1" t="s">
        <v>26</v>
      </c>
      <c r="Q28" s="24"/>
    </row>
    <row r="29" spans="1:17" ht="75" x14ac:dyDescent="0.25">
      <c r="A29">
        <v>28</v>
      </c>
      <c r="B29" t="s">
        <v>169</v>
      </c>
      <c r="H29" s="4" t="s">
        <v>27</v>
      </c>
      <c r="I29" s="16">
        <v>71</v>
      </c>
      <c r="J29" s="16" t="s">
        <v>211</v>
      </c>
      <c r="M29">
        <f t="shared" si="0"/>
        <v>71</v>
      </c>
      <c r="N29" s="28" t="str">
        <f t="shared" si="1"/>
        <v>Did You Speak With a Decision Maker</v>
      </c>
      <c r="O29" s="28" t="str">
        <f t="shared" si="2"/>
        <v>No one available to speak to</v>
      </c>
      <c r="P29" s="1" t="s">
        <v>27</v>
      </c>
      <c r="Q29" s="24" t="s">
        <v>342</v>
      </c>
    </row>
    <row r="30" spans="1:17" ht="90" x14ac:dyDescent="0.25">
      <c r="A30">
        <v>29</v>
      </c>
      <c r="B30" t="s">
        <v>170</v>
      </c>
      <c r="C30" t="s">
        <v>342</v>
      </c>
      <c r="H30" s="4" t="s">
        <v>28</v>
      </c>
      <c r="I30" s="16">
        <v>72</v>
      </c>
      <c r="J30" s="16" t="s">
        <v>212</v>
      </c>
      <c r="M30">
        <f t="shared" si="0"/>
        <v>72</v>
      </c>
      <c r="N30" s="28" t="str">
        <f t="shared" si="1"/>
        <v>Was Merchant Aware of AMEX Acceptance</v>
      </c>
      <c r="O30" s="28" t="str">
        <f t="shared" si="2"/>
        <v>Yes</v>
      </c>
      <c r="P30" s="1" t="s">
        <v>28</v>
      </c>
      <c r="Q30" s="24" t="s">
        <v>94</v>
      </c>
    </row>
    <row r="31" spans="1:17" ht="90" x14ac:dyDescent="0.25">
      <c r="A31">
        <v>30</v>
      </c>
      <c r="B31" t="s">
        <v>171</v>
      </c>
      <c r="C31" t="s">
        <v>94</v>
      </c>
      <c r="H31" s="4" t="s">
        <v>29</v>
      </c>
      <c r="I31" s="16">
        <v>73</v>
      </c>
      <c r="J31" s="16" t="s">
        <v>213</v>
      </c>
      <c r="M31">
        <f t="shared" si="0"/>
        <v>73</v>
      </c>
      <c r="N31" s="28" t="str">
        <f t="shared" si="1"/>
        <v>Did The Merchant Indicate They Were Acept</v>
      </c>
      <c r="O31" s="28" t="str">
        <f t="shared" si="2"/>
        <v>Yes</v>
      </c>
      <c r="P31" s="1" t="s">
        <v>29</v>
      </c>
      <c r="Q31" s="24" t="s">
        <v>350</v>
      </c>
    </row>
    <row r="32" spans="1:17" ht="105" x14ac:dyDescent="0.25">
      <c r="A32">
        <v>31</v>
      </c>
      <c r="B32" t="s">
        <v>172</v>
      </c>
      <c r="C32" t="s">
        <v>350</v>
      </c>
      <c r="H32" s="4" t="s">
        <v>30</v>
      </c>
      <c r="I32" s="16">
        <v>74</v>
      </c>
      <c r="J32" s="16" t="s">
        <v>214</v>
      </c>
      <c r="M32">
        <f t="shared" si="0"/>
        <v>74</v>
      </c>
      <c r="N32" s="28" t="str">
        <f t="shared" si="1"/>
        <v>Did You Observe Any Payment Acceptantance POP</v>
      </c>
      <c r="O32" s="28" t="str">
        <f t="shared" si="2"/>
        <v>Yes</v>
      </c>
      <c r="P32" s="1" t="s">
        <v>30</v>
      </c>
      <c r="Q32" s="24" t="s">
        <v>365</v>
      </c>
    </row>
    <row r="33" spans="1:17" ht="75" x14ac:dyDescent="0.25">
      <c r="A33">
        <v>32</v>
      </c>
      <c r="B33" t="s">
        <v>173</v>
      </c>
      <c r="C33">
        <v>739</v>
      </c>
      <c r="H33" s="4" t="s">
        <v>31</v>
      </c>
      <c r="I33" s="16">
        <v>75</v>
      </c>
      <c r="J33" s="16" t="s">
        <v>215</v>
      </c>
      <c r="M33">
        <f t="shared" si="0"/>
        <v>75</v>
      </c>
      <c r="N33" s="28" t="str">
        <f t="shared" si="1"/>
        <v>Payment Acceptance Indicators Seen</v>
      </c>
      <c r="O33" s="28" t="str">
        <f t="shared" si="2"/>
        <v>ATM Machine</v>
      </c>
      <c r="P33" s="1" t="s">
        <v>31</v>
      </c>
      <c r="Q33" s="24" t="s">
        <v>94</v>
      </c>
    </row>
    <row r="34" spans="1:17" ht="75" x14ac:dyDescent="0.25">
      <c r="A34">
        <v>33</v>
      </c>
      <c r="B34" t="s">
        <v>174</v>
      </c>
      <c r="C34" t="s">
        <v>94</v>
      </c>
      <c r="H34" s="4" t="s">
        <v>32</v>
      </c>
      <c r="I34" s="16">
        <v>76</v>
      </c>
      <c r="J34" s="16" t="s">
        <v>216</v>
      </c>
      <c r="M34">
        <f t="shared" si="0"/>
        <v>76</v>
      </c>
      <c r="N34" s="28" t="str">
        <f t="shared" si="1"/>
        <v>Acceptance Indicator Other Details</v>
      </c>
      <c r="O34" s="28">
        <f t="shared" si="2"/>
        <v>0</v>
      </c>
      <c r="P34" s="1" t="s">
        <v>32</v>
      </c>
      <c r="Q34" s="24" t="s">
        <v>351</v>
      </c>
    </row>
    <row r="35" spans="1:17" ht="75" x14ac:dyDescent="0.25">
      <c r="A35">
        <v>34</v>
      </c>
      <c r="B35" t="s">
        <v>175</v>
      </c>
      <c r="C35" t="s">
        <v>351</v>
      </c>
      <c r="H35" s="4" t="s">
        <v>33</v>
      </c>
      <c r="I35" s="16">
        <v>77</v>
      </c>
      <c r="J35" s="16" t="s">
        <v>217</v>
      </c>
      <c r="M35">
        <f t="shared" si="0"/>
        <v>77</v>
      </c>
      <c r="N35" s="28" t="str">
        <f t="shared" si="1"/>
        <v>Merchant Gave Permission To Test</v>
      </c>
      <c r="O35" s="28" t="str">
        <f t="shared" si="2"/>
        <v>No-Did not validate</v>
      </c>
      <c r="P35" s="1" t="s">
        <v>33</v>
      </c>
      <c r="Q35" s="24" t="s">
        <v>352</v>
      </c>
    </row>
    <row r="36" spans="1:17" ht="45" x14ac:dyDescent="0.25">
      <c r="A36">
        <v>35</v>
      </c>
      <c r="B36" t="s">
        <v>176</v>
      </c>
      <c r="C36" t="s">
        <v>352</v>
      </c>
      <c r="H36" s="4" t="s">
        <v>34</v>
      </c>
      <c r="I36" s="16">
        <v>78</v>
      </c>
      <c r="J36" s="16" t="s">
        <v>218</v>
      </c>
      <c r="M36">
        <f t="shared" si="0"/>
        <v>78</v>
      </c>
      <c r="N36" s="28" t="str">
        <f t="shared" si="1"/>
        <v>Result Of Contactless Test</v>
      </c>
      <c r="O36" s="28" t="str">
        <f t="shared" si="2"/>
        <v>No</v>
      </c>
      <c r="P36" s="1" t="s">
        <v>34</v>
      </c>
      <c r="Q36" s="24" t="s">
        <v>366</v>
      </c>
    </row>
    <row r="37" spans="1:17" ht="150" x14ac:dyDescent="0.25">
      <c r="A37">
        <v>36</v>
      </c>
      <c r="B37" t="s">
        <v>177</v>
      </c>
      <c r="C37">
        <v>8410</v>
      </c>
      <c r="H37" s="4" t="s">
        <v>35</v>
      </c>
      <c r="I37" s="16">
        <v>79</v>
      </c>
      <c r="J37" s="16" t="s">
        <v>219</v>
      </c>
      <c r="M37">
        <f t="shared" si="0"/>
        <v>79</v>
      </c>
      <c r="N37" s="28" t="str">
        <f t="shared" si="1"/>
        <v>Value Claims Used</v>
      </c>
      <c r="O37" s="28" t="str">
        <f t="shared" si="2"/>
        <v>Card Member Value Claims, Industry Value Claims, Recommendations Value Claims, Signage Value Claims, Chargeback/â€‹Dispute</v>
      </c>
      <c r="P37" s="1" t="s">
        <v>35</v>
      </c>
      <c r="Q37" s="24" t="s">
        <v>353</v>
      </c>
    </row>
    <row r="38" spans="1:17" ht="75" x14ac:dyDescent="0.25">
      <c r="A38">
        <v>37</v>
      </c>
      <c r="B38" t="s">
        <v>178</v>
      </c>
      <c r="C38" t="s">
        <v>353</v>
      </c>
      <c r="H38" s="4" t="s">
        <v>36</v>
      </c>
      <c r="I38" s="16">
        <v>80</v>
      </c>
      <c r="J38" s="16" t="s">
        <v>220</v>
      </c>
      <c r="M38">
        <f t="shared" si="0"/>
        <v>80</v>
      </c>
      <c r="N38" s="28" t="str">
        <f t="shared" si="1"/>
        <v>General Notesand Observations</v>
      </c>
      <c r="O38" s="28">
        <f t="shared" si="2"/>
        <v>0</v>
      </c>
      <c r="P38" s="1" t="s">
        <v>36</v>
      </c>
      <c r="Q38" s="24" t="s">
        <v>354</v>
      </c>
    </row>
    <row r="39" spans="1:17" ht="60" x14ac:dyDescent="0.25">
      <c r="A39">
        <v>38</v>
      </c>
      <c r="B39" t="s">
        <v>179</v>
      </c>
      <c r="C39" t="s">
        <v>354</v>
      </c>
      <c r="H39" s="4" t="s">
        <v>37</v>
      </c>
      <c r="I39" s="16">
        <v>81</v>
      </c>
      <c r="J39" s="16" t="s">
        <v>221</v>
      </c>
      <c r="M39">
        <f t="shared" si="0"/>
        <v>81</v>
      </c>
      <c r="N39" s="28" t="str">
        <f t="shared" si="1"/>
        <v>Interior Where POP Wil lBe Seen</v>
      </c>
      <c r="O39" s="28" t="str">
        <f t="shared" si="2"/>
        <v>Yes</v>
      </c>
      <c r="P39" s="1" t="s">
        <v>37</v>
      </c>
      <c r="Q39" s="24"/>
    </row>
    <row r="40" spans="1:17" ht="60" x14ac:dyDescent="0.25">
      <c r="A40">
        <v>39</v>
      </c>
      <c r="B40" t="s">
        <v>180</v>
      </c>
      <c r="C40" s="8">
        <v>45234</v>
      </c>
      <c r="H40" s="4" t="s">
        <v>38</v>
      </c>
      <c r="I40" s="16">
        <v>82</v>
      </c>
      <c r="J40" s="16" t="s">
        <v>222</v>
      </c>
      <c r="M40">
        <f t="shared" si="0"/>
        <v>82</v>
      </c>
      <c r="N40" s="28" t="str">
        <f t="shared" si="1"/>
        <v>Did You Place Interior POP</v>
      </c>
      <c r="O40" s="28" t="str">
        <f t="shared" si="2"/>
        <v>Yes</v>
      </c>
      <c r="P40" s="1" t="s">
        <v>38</v>
      </c>
      <c r="Q40" s="24" t="s">
        <v>118</v>
      </c>
    </row>
    <row r="41" spans="1:17" ht="60" x14ac:dyDescent="0.25">
      <c r="A41">
        <v>40</v>
      </c>
      <c r="B41" t="s">
        <v>181</v>
      </c>
      <c r="C41" t="s">
        <v>118</v>
      </c>
      <c r="H41" s="4" t="s">
        <v>39</v>
      </c>
      <c r="I41" s="16">
        <v>83</v>
      </c>
      <c r="J41" s="16" t="s">
        <v>223</v>
      </c>
      <c r="M41">
        <f t="shared" si="0"/>
        <v>83</v>
      </c>
      <c r="N41" s="28" t="str">
        <f t="shared" si="1"/>
        <v>Interior Common POP Placed</v>
      </c>
      <c r="O41" s="28" t="str">
        <f t="shared" si="2"/>
        <v>DECAL PUSH PULL AMEX</v>
      </c>
      <c r="P41" s="1" t="s">
        <v>39</v>
      </c>
      <c r="Q41" s="24" t="s">
        <v>367</v>
      </c>
    </row>
    <row r="42" spans="1:17" ht="120" x14ac:dyDescent="0.25">
      <c r="A42">
        <v>41</v>
      </c>
      <c r="B42" t="s">
        <v>182</v>
      </c>
      <c r="C42">
        <v>9380502204</v>
      </c>
      <c r="H42" s="4" t="s">
        <v>40</v>
      </c>
      <c r="I42" s="16">
        <v>84</v>
      </c>
      <c r="J42" s="16" t="s">
        <v>224</v>
      </c>
      <c r="M42">
        <f t="shared" si="0"/>
        <v>84</v>
      </c>
      <c r="N42" s="28" t="str">
        <f t="shared" si="1"/>
        <v>If interior POP was placed, did it include Contactless symbol?</v>
      </c>
      <c r="O42" s="28" t="str">
        <f t="shared" si="2"/>
        <v>Yes</v>
      </c>
      <c r="P42" s="1" t="s">
        <v>40</v>
      </c>
      <c r="Q42" s="24" t="s">
        <v>262</v>
      </c>
    </row>
    <row r="43" spans="1:17" ht="60" x14ac:dyDescent="0.25">
      <c r="A43">
        <v>42</v>
      </c>
      <c r="B43" t="s">
        <v>183</v>
      </c>
      <c r="C43" t="s">
        <v>262</v>
      </c>
      <c r="H43" s="4" t="s">
        <v>41</v>
      </c>
      <c r="I43" s="16">
        <v>87</v>
      </c>
      <c r="J43" s="16" t="s">
        <v>227</v>
      </c>
      <c r="M43">
        <f t="shared" si="0"/>
        <v>87</v>
      </c>
      <c r="N43" s="28" t="str">
        <f t="shared" si="1"/>
        <v>Why Not Exterior POP Placed</v>
      </c>
      <c r="O43" s="28">
        <f t="shared" si="2"/>
        <v>0</v>
      </c>
      <c r="P43" s="1" t="s">
        <v>41</v>
      </c>
      <c r="Q43" s="24" t="s">
        <v>368</v>
      </c>
    </row>
    <row r="44" spans="1:17" ht="90" x14ac:dyDescent="0.25">
      <c r="A44">
        <v>43</v>
      </c>
      <c r="B44" t="s">
        <v>184</v>
      </c>
      <c r="C44">
        <v>9380500943</v>
      </c>
      <c r="H44" s="4" t="s">
        <v>42</v>
      </c>
      <c r="I44" s="16">
        <v>88</v>
      </c>
      <c r="J44" s="16" t="s">
        <v>228</v>
      </c>
      <c r="M44">
        <f t="shared" si="0"/>
        <v>88</v>
      </c>
      <c r="N44" s="28" t="str">
        <f t="shared" si="1"/>
        <v>Other Merchant Exterior POP Objection</v>
      </c>
      <c r="O44" s="28">
        <f t="shared" si="2"/>
        <v>0</v>
      </c>
      <c r="P44" s="1" t="s">
        <v>42</v>
      </c>
      <c r="Q44" s="24" t="s">
        <v>91</v>
      </c>
    </row>
    <row r="45" spans="1:17" ht="60" x14ac:dyDescent="0.25">
      <c r="A45">
        <v>44</v>
      </c>
      <c r="B45" t="s">
        <v>185</v>
      </c>
      <c r="C45" t="s">
        <v>91</v>
      </c>
      <c r="H45" s="4" t="s">
        <v>43</v>
      </c>
      <c r="I45" s="16">
        <v>89</v>
      </c>
      <c r="J45" s="16" t="s">
        <v>229</v>
      </c>
      <c r="M45">
        <f t="shared" si="0"/>
        <v>89</v>
      </c>
      <c r="N45" s="28" t="str">
        <f t="shared" si="1"/>
        <v>Exterior Where POP Will Be Seen</v>
      </c>
      <c r="O45" s="28" t="str">
        <f t="shared" si="2"/>
        <v>Yes</v>
      </c>
      <c r="P45" s="1" t="s">
        <v>43</v>
      </c>
      <c r="Q45" s="24" t="s">
        <v>355</v>
      </c>
    </row>
    <row r="46" spans="1:17" ht="60" x14ac:dyDescent="0.25">
      <c r="A46">
        <v>45</v>
      </c>
      <c r="B46" t="s">
        <v>186</v>
      </c>
      <c r="C46" t="s">
        <v>355</v>
      </c>
      <c r="H46" s="4" t="s">
        <v>44</v>
      </c>
      <c r="I46" s="16">
        <v>90</v>
      </c>
      <c r="J46" s="16" t="s">
        <v>230</v>
      </c>
      <c r="M46">
        <f t="shared" si="0"/>
        <v>90</v>
      </c>
      <c r="N46" s="28" t="str">
        <f t="shared" si="1"/>
        <v>Did You Place Exterior POP</v>
      </c>
      <c r="O46" s="28" t="str">
        <f t="shared" si="2"/>
        <v>Yes</v>
      </c>
      <c r="P46" s="1" t="s">
        <v>44</v>
      </c>
      <c r="Q46" s="24" t="s">
        <v>341</v>
      </c>
    </row>
    <row r="47" spans="1:17" ht="60" x14ac:dyDescent="0.25">
      <c r="A47">
        <v>46</v>
      </c>
      <c r="B47" t="s">
        <v>187</v>
      </c>
      <c r="C47" t="s">
        <v>341</v>
      </c>
      <c r="H47" s="4" t="s">
        <v>45</v>
      </c>
      <c r="I47" s="16">
        <v>91</v>
      </c>
      <c r="J47" s="16" t="s">
        <v>231</v>
      </c>
      <c r="M47">
        <f t="shared" si="0"/>
        <v>91</v>
      </c>
      <c r="N47" s="28" t="str">
        <f t="shared" si="1"/>
        <v>Exterior Common POP Placed</v>
      </c>
      <c r="O47" s="28" t="str">
        <f t="shared" si="2"/>
        <v>DECAL SUPPORT BUSINESS</v>
      </c>
      <c r="P47" s="1" t="s">
        <v>45</v>
      </c>
      <c r="Q47" s="24"/>
    </row>
    <row r="48" spans="1:17" ht="90" x14ac:dyDescent="0.25">
      <c r="A48">
        <v>47</v>
      </c>
      <c r="B48" t="s">
        <v>188</v>
      </c>
      <c r="C48">
        <v>9382277896</v>
      </c>
      <c r="H48" s="5" t="s">
        <v>46</v>
      </c>
      <c r="I48" s="16">
        <v>86</v>
      </c>
      <c r="J48" s="16" t="s">
        <v>226</v>
      </c>
      <c r="M48">
        <f t="shared" si="0"/>
        <v>86</v>
      </c>
      <c r="N48" s="28" t="str">
        <f t="shared" si="1"/>
        <v>Exterior Placed POP Include Contactless</v>
      </c>
      <c r="O48" s="28" t="str">
        <f t="shared" si="2"/>
        <v>Yes</v>
      </c>
      <c r="P48" s="3" t="s">
        <v>46</v>
      </c>
      <c r="Q48" s="24" t="s">
        <v>91</v>
      </c>
    </row>
    <row r="49" spans="1:17" ht="60" x14ac:dyDescent="0.25">
      <c r="A49">
        <v>48</v>
      </c>
      <c r="B49" t="s">
        <v>189</v>
      </c>
      <c r="C49" t="s">
        <v>91</v>
      </c>
      <c r="H49" s="4" t="s">
        <v>47</v>
      </c>
      <c r="I49" s="16">
        <v>85</v>
      </c>
      <c r="J49" s="16" t="s">
        <v>225</v>
      </c>
      <c r="M49">
        <f t="shared" si="0"/>
        <v>85</v>
      </c>
      <c r="N49" s="28" t="str">
        <f t="shared" si="1"/>
        <v>Why Not Interior POP Placed</v>
      </c>
      <c r="O49" s="28">
        <f t="shared" si="2"/>
        <v>0</v>
      </c>
      <c r="P49" s="1" t="s">
        <v>47</v>
      </c>
      <c r="Q49" s="24"/>
    </row>
    <row r="50" spans="1:17" ht="90" x14ac:dyDescent="0.25">
      <c r="A50">
        <v>49</v>
      </c>
      <c r="B50" t="s">
        <v>334</v>
      </c>
      <c r="C50" t="s">
        <v>102</v>
      </c>
      <c r="H50" s="4" t="s">
        <v>48</v>
      </c>
      <c r="I50" s="16">
        <v>92</v>
      </c>
      <c r="J50" s="16" t="s">
        <v>232</v>
      </c>
      <c r="M50">
        <f t="shared" si="0"/>
        <v>92</v>
      </c>
      <c r="N50" s="28" t="str">
        <f t="shared" si="1"/>
        <v>External Placed POP Include Contactless</v>
      </c>
      <c r="O50" s="28" t="str">
        <f t="shared" si="2"/>
        <v>Yes</v>
      </c>
      <c r="P50" s="1" t="s">
        <v>48</v>
      </c>
      <c r="Q50" s="24" t="s">
        <v>118</v>
      </c>
    </row>
    <row r="51" spans="1:17" ht="90" x14ac:dyDescent="0.25">
      <c r="A51">
        <v>50</v>
      </c>
      <c r="B51" t="s">
        <v>190</v>
      </c>
      <c r="H51" s="4" t="s">
        <v>49</v>
      </c>
      <c r="I51" s="16">
        <v>93</v>
      </c>
      <c r="J51" s="16" t="s">
        <v>233</v>
      </c>
      <c r="M51">
        <f t="shared" si="0"/>
        <v>93</v>
      </c>
      <c r="N51" s="28" t="str">
        <f t="shared" si="1"/>
        <v>Contactless POP Non Placement Reason</v>
      </c>
      <c r="O51" s="28">
        <f t="shared" si="2"/>
        <v>0</v>
      </c>
      <c r="P51" s="1" t="s">
        <v>49</v>
      </c>
      <c r="Q51" s="24" t="s">
        <v>342</v>
      </c>
    </row>
    <row r="52" spans="1:17" ht="60" x14ac:dyDescent="0.25">
      <c r="A52">
        <v>51</v>
      </c>
      <c r="B52" t="s">
        <v>191</v>
      </c>
      <c r="C52" t="s">
        <v>118</v>
      </c>
      <c r="H52" s="4" t="s">
        <v>50</v>
      </c>
      <c r="I52" s="16">
        <v>94</v>
      </c>
      <c r="J52" s="16" t="s">
        <v>234</v>
      </c>
      <c r="M52">
        <f t="shared" si="0"/>
        <v>94</v>
      </c>
      <c r="N52" s="28" t="str">
        <f t="shared" si="1"/>
        <v>Did You Leave POP Behind</v>
      </c>
      <c r="O52" s="28" t="str">
        <f t="shared" si="2"/>
        <v>Yes</v>
      </c>
      <c r="P52" s="1" t="s">
        <v>50</v>
      </c>
      <c r="Q52" s="24" t="s">
        <v>342</v>
      </c>
    </row>
    <row r="53" spans="1:17" ht="60" x14ac:dyDescent="0.25">
      <c r="A53">
        <v>52</v>
      </c>
      <c r="B53" t="s">
        <v>192</v>
      </c>
      <c r="C53" t="s">
        <v>342</v>
      </c>
      <c r="H53" s="4" t="s">
        <v>51</v>
      </c>
      <c r="I53" s="16">
        <v>95</v>
      </c>
      <c r="J53" s="16" t="s">
        <v>235</v>
      </c>
      <c r="M53">
        <f t="shared" si="0"/>
        <v>95</v>
      </c>
      <c r="N53" s="28" t="str">
        <f t="shared" si="1"/>
        <v>What Common POP Left Behind</v>
      </c>
      <c r="O53" s="28" t="str">
        <f t="shared" si="2"/>
        <v>SINGLE CARD COUNTER SIGN</v>
      </c>
      <c r="P53" s="1" t="s">
        <v>51</v>
      </c>
      <c r="Q53" s="24" t="s">
        <v>365</v>
      </c>
    </row>
    <row r="54" spans="1:17" ht="105" x14ac:dyDescent="0.25">
      <c r="A54">
        <v>53</v>
      </c>
      <c r="B54" t="s">
        <v>193</v>
      </c>
      <c r="C54" t="s">
        <v>342</v>
      </c>
      <c r="H54" s="4" t="s">
        <v>52</v>
      </c>
      <c r="I54" s="16">
        <v>96</v>
      </c>
      <c r="J54" s="16" t="s">
        <v>236</v>
      </c>
      <c r="M54">
        <f t="shared" si="0"/>
        <v>96</v>
      </c>
      <c r="N54" s="28" t="str">
        <f t="shared" si="1"/>
        <v>Did You Order The Merchant Premium POP</v>
      </c>
      <c r="O54" s="28" t="str">
        <f t="shared" si="2"/>
        <v>Yes</v>
      </c>
      <c r="P54" s="1" t="s">
        <v>52</v>
      </c>
      <c r="Q54" s="24" t="s">
        <v>350</v>
      </c>
    </row>
    <row r="55" spans="1:17" ht="90" x14ac:dyDescent="0.25">
      <c r="A55">
        <v>54</v>
      </c>
      <c r="B55" t="s">
        <v>194</v>
      </c>
      <c r="C55">
        <v>739</v>
      </c>
      <c r="H55" s="4" t="s">
        <v>53</v>
      </c>
      <c r="I55" s="16">
        <v>97</v>
      </c>
      <c r="J55" s="16" t="s">
        <v>237</v>
      </c>
      <c r="M55">
        <f t="shared" si="0"/>
        <v>97</v>
      </c>
      <c r="N55" s="28" t="str">
        <f t="shared" si="1"/>
        <v>Did YouLeave Collateral Materials</v>
      </c>
      <c r="O55" s="28" t="str">
        <f t="shared" si="2"/>
        <v>Yes</v>
      </c>
      <c r="P55" s="1" t="s">
        <v>53</v>
      </c>
      <c r="Q55" s="24" t="s">
        <v>102</v>
      </c>
    </row>
    <row r="56" spans="1:17" ht="90" x14ac:dyDescent="0.25">
      <c r="A56">
        <v>55</v>
      </c>
      <c r="B56" t="s">
        <v>195</v>
      </c>
      <c r="C56" t="s">
        <v>350</v>
      </c>
      <c r="H56" s="4" t="s">
        <v>54</v>
      </c>
      <c r="I56" s="16">
        <v>98</v>
      </c>
      <c r="J56" s="16" t="s">
        <v>238</v>
      </c>
      <c r="M56">
        <f t="shared" si="0"/>
        <v>98</v>
      </c>
      <c r="N56" s="28" t="str">
        <f t="shared" si="1"/>
        <v>Did You Leave Behind Non Placemente</v>
      </c>
      <c r="O56" s="28" t="str">
        <f t="shared" si="2"/>
        <v>Yes</v>
      </c>
      <c r="P56" s="1" t="s">
        <v>54</v>
      </c>
      <c r="Q56" s="24"/>
    </row>
    <row r="57" spans="1:17" ht="90" x14ac:dyDescent="0.25">
      <c r="A57">
        <v>56</v>
      </c>
      <c r="B57" t="s">
        <v>196</v>
      </c>
      <c r="C57" t="s">
        <v>102</v>
      </c>
      <c r="H57" s="4" t="s">
        <v>55</v>
      </c>
      <c r="I57" s="16">
        <v>99</v>
      </c>
      <c r="J57" s="16" t="s">
        <v>239</v>
      </c>
      <c r="M57">
        <f t="shared" si="0"/>
        <v>99</v>
      </c>
      <c r="N57" s="28" t="str">
        <f t="shared" si="1"/>
        <v>What Non Placement Items Did You Leave</v>
      </c>
      <c r="O57" s="28" t="str">
        <f t="shared" si="2"/>
        <v>BS WHITE BOARD</v>
      </c>
      <c r="P57" s="1" t="s">
        <v>55</v>
      </c>
      <c r="Q57" s="24"/>
    </row>
    <row r="58" spans="1:17" x14ac:dyDescent="0.25">
      <c r="A58">
        <v>57</v>
      </c>
      <c r="B58" t="s">
        <v>197</v>
      </c>
      <c r="C58" t="s">
        <v>269</v>
      </c>
      <c r="H58" s="4" t="s">
        <v>56</v>
      </c>
      <c r="I58" s="13"/>
      <c r="J58" s="13" t="s">
        <v>339</v>
      </c>
      <c r="M58" t="e">
        <f t="shared" si="0"/>
        <v>#N/A</v>
      </c>
      <c r="N58" s="28" t="e">
        <f t="shared" si="1"/>
        <v>#N/A</v>
      </c>
      <c r="O58" s="28" t="e">
        <f t="shared" si="2"/>
        <v>#N/A</v>
      </c>
      <c r="P58" s="1" t="s">
        <v>56</v>
      </c>
      <c r="Q58" s="24" t="s">
        <v>97</v>
      </c>
    </row>
    <row r="59" spans="1:17" x14ac:dyDescent="0.25">
      <c r="A59">
        <v>58</v>
      </c>
      <c r="B59" t="s">
        <v>180</v>
      </c>
      <c r="C59" s="8">
        <v>45234</v>
      </c>
      <c r="H59" s="4" t="s">
        <v>57</v>
      </c>
      <c r="I59" s="13"/>
      <c r="J59" s="13" t="s">
        <v>339</v>
      </c>
      <c r="M59" t="e">
        <f t="shared" si="0"/>
        <v>#N/A</v>
      </c>
      <c r="N59" s="28" t="e">
        <f t="shared" si="1"/>
        <v>#N/A</v>
      </c>
      <c r="O59" s="28" t="e">
        <f t="shared" si="2"/>
        <v>#N/A</v>
      </c>
      <c r="P59" s="1" t="s">
        <v>57</v>
      </c>
      <c r="Q59" s="24" t="s">
        <v>355</v>
      </c>
    </row>
    <row r="60" spans="1:17" x14ac:dyDescent="0.25">
      <c r="A60">
        <v>59</v>
      </c>
      <c r="B60" t="s">
        <v>198</v>
      </c>
      <c r="C60" t="s">
        <v>97</v>
      </c>
      <c r="H60" s="4" t="s">
        <v>58</v>
      </c>
      <c r="I60" s="13"/>
      <c r="J60" s="13" t="s">
        <v>339</v>
      </c>
      <c r="M60" t="e">
        <f t="shared" si="0"/>
        <v>#N/A</v>
      </c>
      <c r="N60" s="28" t="e">
        <f t="shared" si="1"/>
        <v>#N/A</v>
      </c>
      <c r="O60" s="28" t="e">
        <f t="shared" si="2"/>
        <v>#N/A</v>
      </c>
      <c r="P60" s="1" t="s">
        <v>58</v>
      </c>
      <c r="Q60" s="24"/>
    </row>
    <row r="61" spans="1:17" ht="30" x14ac:dyDescent="0.25">
      <c r="A61">
        <v>60</v>
      </c>
      <c r="B61" t="s">
        <v>199</v>
      </c>
      <c r="C61" t="s">
        <v>355</v>
      </c>
      <c r="H61" s="4" t="s">
        <v>59</v>
      </c>
      <c r="I61" s="16">
        <v>100</v>
      </c>
      <c r="J61" s="16" t="s">
        <v>240</v>
      </c>
      <c r="M61">
        <f t="shared" si="0"/>
        <v>100</v>
      </c>
      <c r="N61" s="28" t="str">
        <f t="shared" si="1"/>
        <v>Acceptance Meter</v>
      </c>
      <c r="O61" s="28" t="str">
        <f t="shared" si="2"/>
        <v>Accepts Conditionally</v>
      </c>
      <c r="P61" s="1" t="s">
        <v>59</v>
      </c>
      <c r="Q61" s="24" t="s">
        <v>346</v>
      </c>
    </row>
    <row r="62" spans="1:17" x14ac:dyDescent="0.25">
      <c r="A62">
        <v>61</v>
      </c>
      <c r="B62" t="s">
        <v>200</v>
      </c>
      <c r="H62" s="4" t="s">
        <v>60</v>
      </c>
      <c r="I62" s="13"/>
      <c r="J62" s="13" t="s">
        <v>340</v>
      </c>
      <c r="M62" t="e">
        <f t="shared" si="0"/>
        <v>#N/A</v>
      </c>
      <c r="N62" s="28" t="e">
        <f t="shared" si="1"/>
        <v>#N/A</v>
      </c>
      <c r="O62" s="28" t="e">
        <f t="shared" si="2"/>
        <v>#N/A</v>
      </c>
      <c r="P62" s="1" t="s">
        <v>60</v>
      </c>
      <c r="Q62" s="24"/>
    </row>
    <row r="63" spans="1:17" x14ac:dyDescent="0.25">
      <c r="A63">
        <v>62</v>
      </c>
      <c r="B63" t="s">
        <v>201</v>
      </c>
      <c r="C63" t="s">
        <v>346</v>
      </c>
      <c r="H63" s="4" t="s">
        <v>61</v>
      </c>
      <c r="I63" s="13"/>
      <c r="J63" s="13" t="s">
        <v>340</v>
      </c>
      <c r="M63" t="e">
        <f t="shared" si="0"/>
        <v>#N/A</v>
      </c>
      <c r="N63" s="28" t="e">
        <f t="shared" si="1"/>
        <v>#N/A</v>
      </c>
      <c r="O63" s="28" t="e">
        <f t="shared" si="2"/>
        <v>#N/A</v>
      </c>
      <c r="P63" s="1" t="s">
        <v>61</v>
      </c>
      <c r="Q63" s="24" t="s">
        <v>100</v>
      </c>
    </row>
    <row r="64" spans="1:17" ht="60" x14ac:dyDescent="0.25">
      <c r="A64">
        <v>63</v>
      </c>
      <c r="B64" t="s">
        <v>202</v>
      </c>
      <c r="H64" s="4" t="s">
        <v>62</v>
      </c>
      <c r="I64" s="16">
        <v>101</v>
      </c>
      <c r="J64" s="16" t="s">
        <v>241</v>
      </c>
      <c r="M64">
        <f t="shared" si="0"/>
        <v>101</v>
      </c>
      <c r="N64" s="28" t="str">
        <f t="shared" si="1"/>
        <v>Non Rate Related Objection</v>
      </c>
      <c r="O64" s="28" t="str">
        <f t="shared" si="2"/>
        <v>Disputes/Chargebacks</v>
      </c>
      <c r="P64" s="1" t="s">
        <v>62</v>
      </c>
      <c r="Q64" s="24" t="s">
        <v>272</v>
      </c>
    </row>
    <row r="65" spans="1:17" ht="75" x14ac:dyDescent="0.25">
      <c r="A65">
        <v>64</v>
      </c>
      <c r="B65" t="s">
        <v>203</v>
      </c>
      <c r="C65" t="s">
        <v>100</v>
      </c>
      <c r="H65" s="4" t="s">
        <v>63</v>
      </c>
      <c r="I65" s="16">
        <v>102</v>
      </c>
      <c r="J65" s="16" t="s">
        <v>242</v>
      </c>
      <c r="M65">
        <f t="shared" si="0"/>
        <v>102</v>
      </c>
      <c r="N65" s="28" t="str">
        <f t="shared" si="1"/>
        <v>AXP Values Solutions</v>
      </c>
      <c r="O65" s="28" t="str">
        <f t="shared" si="2"/>
        <v>Business Services, Merchant Data and Insights, Offers, Point of Purchase Supplies</v>
      </c>
      <c r="P65" s="1" t="s">
        <v>63</v>
      </c>
      <c r="Q65" s="24" t="s">
        <v>102</v>
      </c>
    </row>
    <row r="66" spans="1:17" x14ac:dyDescent="0.25">
      <c r="A66">
        <v>65</v>
      </c>
      <c r="B66" t="s">
        <v>204</v>
      </c>
      <c r="C66" t="s">
        <v>272</v>
      </c>
      <c r="H66" s="4" t="s">
        <v>64</v>
      </c>
      <c r="I66" s="13" t="s">
        <v>340</v>
      </c>
      <c r="J66" s="13"/>
      <c r="M66" t="e">
        <f t="shared" si="0"/>
        <v>#N/A</v>
      </c>
      <c r="N66" s="28" t="e">
        <f t="shared" si="1"/>
        <v>#N/A</v>
      </c>
      <c r="O66" s="28" t="e">
        <f t="shared" si="2"/>
        <v>#N/A</v>
      </c>
      <c r="P66" s="1" t="s">
        <v>64</v>
      </c>
      <c r="Q66" s="24" t="s">
        <v>272</v>
      </c>
    </row>
    <row r="67" spans="1:17" x14ac:dyDescent="0.25">
      <c r="A67">
        <v>66</v>
      </c>
      <c r="B67" t="s">
        <v>205</v>
      </c>
      <c r="C67" t="s">
        <v>102</v>
      </c>
      <c r="H67" s="4" t="s">
        <v>65</v>
      </c>
      <c r="I67" s="17" t="s">
        <v>340</v>
      </c>
      <c r="J67" s="17"/>
      <c r="M67" t="e">
        <f t="shared" si="0"/>
        <v>#N/A</v>
      </c>
      <c r="N67" s="28" t="e">
        <f t="shared" si="1"/>
        <v>#N/A</v>
      </c>
      <c r="O67" s="28" t="e">
        <f t="shared" si="2"/>
        <v>#N/A</v>
      </c>
      <c r="P67" s="1" t="s">
        <v>65</v>
      </c>
      <c r="Q67" s="24" t="s">
        <v>102</v>
      </c>
    </row>
    <row r="68" spans="1:17" x14ac:dyDescent="0.25">
      <c r="A68">
        <v>67</v>
      </c>
      <c r="B68" t="s">
        <v>206</v>
      </c>
      <c r="C68" t="s">
        <v>272</v>
      </c>
      <c r="H68" s="4" t="s">
        <v>66</v>
      </c>
      <c r="I68" s="17" t="s">
        <v>340</v>
      </c>
      <c r="J68" s="17"/>
      <c r="M68" t="e">
        <f t="shared" si="0"/>
        <v>#N/A</v>
      </c>
      <c r="N68" s="28" t="e">
        <f t="shared" si="1"/>
        <v>#N/A</v>
      </c>
      <c r="O68" s="28" t="e">
        <f t="shared" si="2"/>
        <v>#N/A</v>
      </c>
      <c r="P68" s="1" t="s">
        <v>66</v>
      </c>
      <c r="Q68" s="24" t="s">
        <v>102</v>
      </c>
    </row>
    <row r="69" spans="1:17" x14ac:dyDescent="0.25">
      <c r="A69">
        <v>68</v>
      </c>
      <c r="B69" t="s">
        <v>207</v>
      </c>
      <c r="C69" t="s">
        <v>102</v>
      </c>
      <c r="H69" s="4" t="s">
        <v>67</v>
      </c>
      <c r="I69" s="17" t="s">
        <v>340</v>
      </c>
      <c r="J69" s="17"/>
      <c r="M69" t="e">
        <f t="shared" ref="M69:M92" si="3">VLOOKUP(I69,$A$2:$C$108,1,FALSE)</f>
        <v>#N/A</v>
      </c>
      <c r="N69" s="28" t="e">
        <f t="shared" ref="N69:N92" si="4">VLOOKUP($I69,$A$2:$C$108,2,FALSE)</f>
        <v>#N/A</v>
      </c>
      <c r="O69" s="28" t="e">
        <f t="shared" ref="O69:O92" si="5">VLOOKUP($I69,$A$2:$C$108,3,FALSE)</f>
        <v>#N/A</v>
      </c>
      <c r="P69" s="1" t="s">
        <v>67</v>
      </c>
      <c r="Q69" s="24" t="s">
        <v>305</v>
      </c>
    </row>
    <row r="70" spans="1:17" x14ac:dyDescent="0.25">
      <c r="A70">
        <v>69</v>
      </c>
      <c r="B70" t="s">
        <v>208</v>
      </c>
      <c r="C70" t="s">
        <v>102</v>
      </c>
      <c r="H70" s="4" t="s">
        <v>68</v>
      </c>
      <c r="I70" s="17" t="s">
        <v>340</v>
      </c>
      <c r="J70" s="17"/>
      <c r="M70" t="e">
        <f t="shared" si="3"/>
        <v>#N/A</v>
      </c>
      <c r="N70" s="28" t="e">
        <f t="shared" si="4"/>
        <v>#N/A</v>
      </c>
      <c r="O70" s="28" t="e">
        <f t="shared" si="5"/>
        <v>#N/A</v>
      </c>
      <c r="P70" s="1" t="s">
        <v>68</v>
      </c>
      <c r="Q70" s="24" t="s">
        <v>274</v>
      </c>
    </row>
    <row r="71" spans="1:17" x14ac:dyDescent="0.25">
      <c r="A71">
        <v>70</v>
      </c>
      <c r="B71" t="s">
        <v>209</v>
      </c>
      <c r="C71" t="s">
        <v>305</v>
      </c>
      <c r="H71" s="4" t="s">
        <v>69</v>
      </c>
      <c r="I71" s="17" t="s">
        <v>340</v>
      </c>
      <c r="J71" s="17"/>
      <c r="M71" t="e">
        <f t="shared" si="3"/>
        <v>#N/A</v>
      </c>
      <c r="N71" s="28" t="e">
        <f t="shared" si="4"/>
        <v>#N/A</v>
      </c>
      <c r="O71" s="28" t="e">
        <f t="shared" si="5"/>
        <v>#N/A</v>
      </c>
      <c r="P71" s="1" t="s">
        <v>69</v>
      </c>
      <c r="Q71" s="24" t="s">
        <v>102</v>
      </c>
    </row>
    <row r="72" spans="1:17" x14ac:dyDescent="0.25">
      <c r="A72">
        <v>71</v>
      </c>
      <c r="B72" t="s">
        <v>210</v>
      </c>
      <c r="C72" t="s">
        <v>274</v>
      </c>
      <c r="H72" s="4" t="s">
        <v>70</v>
      </c>
      <c r="I72" s="17" t="s">
        <v>340</v>
      </c>
      <c r="J72" s="17"/>
      <c r="M72" t="e">
        <f t="shared" si="3"/>
        <v>#N/A</v>
      </c>
      <c r="N72" s="28" t="e">
        <f t="shared" si="4"/>
        <v>#N/A</v>
      </c>
      <c r="O72" s="28" t="e">
        <f t="shared" si="5"/>
        <v>#N/A</v>
      </c>
      <c r="P72" s="1" t="s">
        <v>70</v>
      </c>
      <c r="Q72" s="24" t="s">
        <v>102</v>
      </c>
    </row>
    <row r="73" spans="1:17" x14ac:dyDescent="0.25">
      <c r="A73">
        <v>72</v>
      </c>
      <c r="B73" t="s">
        <v>211</v>
      </c>
      <c r="C73" t="s">
        <v>102</v>
      </c>
      <c r="H73" s="4" t="s">
        <v>71</v>
      </c>
      <c r="I73" s="17" t="s">
        <v>340</v>
      </c>
      <c r="J73" s="17"/>
      <c r="M73" t="e">
        <f t="shared" si="3"/>
        <v>#N/A</v>
      </c>
      <c r="N73" s="28" t="e">
        <f t="shared" si="4"/>
        <v>#N/A</v>
      </c>
      <c r="O73" s="28" t="e">
        <f t="shared" si="5"/>
        <v>#N/A</v>
      </c>
      <c r="P73" s="1" t="s">
        <v>71</v>
      </c>
      <c r="Q73" s="24" t="s">
        <v>102</v>
      </c>
    </row>
    <row r="74" spans="1:17" x14ac:dyDescent="0.25">
      <c r="A74">
        <v>73</v>
      </c>
      <c r="B74" t="s">
        <v>212</v>
      </c>
      <c r="C74" t="s">
        <v>102</v>
      </c>
      <c r="H74" s="4" t="s">
        <v>72</v>
      </c>
      <c r="I74" s="17" t="s">
        <v>340</v>
      </c>
      <c r="J74" s="17"/>
      <c r="M74" t="e">
        <f t="shared" si="3"/>
        <v>#N/A</v>
      </c>
      <c r="N74" s="28" t="e">
        <f t="shared" si="4"/>
        <v>#N/A</v>
      </c>
      <c r="O74" s="28" t="e">
        <f t="shared" si="5"/>
        <v>#N/A</v>
      </c>
      <c r="P74" s="1" t="s">
        <v>72</v>
      </c>
      <c r="Q74" s="24" t="s">
        <v>305</v>
      </c>
    </row>
    <row r="75" spans="1:17" x14ac:dyDescent="0.25">
      <c r="A75">
        <v>74</v>
      </c>
      <c r="B75" t="s">
        <v>213</v>
      </c>
      <c r="C75" t="s">
        <v>102</v>
      </c>
      <c r="H75" s="4" t="s">
        <v>73</v>
      </c>
      <c r="I75" s="17" t="s">
        <v>340</v>
      </c>
      <c r="J75" s="17"/>
      <c r="M75" t="e">
        <f t="shared" si="3"/>
        <v>#N/A</v>
      </c>
      <c r="N75" s="28" t="e">
        <f t="shared" si="4"/>
        <v>#N/A</v>
      </c>
      <c r="O75" s="28" t="e">
        <f t="shared" si="5"/>
        <v>#N/A</v>
      </c>
      <c r="P75" s="1" t="s">
        <v>73</v>
      </c>
      <c r="Q75" s="24"/>
    </row>
    <row r="76" spans="1:17" x14ac:dyDescent="0.25">
      <c r="A76">
        <v>75</v>
      </c>
      <c r="B76" t="s">
        <v>214</v>
      </c>
      <c r="C76" t="s">
        <v>305</v>
      </c>
      <c r="H76" s="4" t="s">
        <v>74</v>
      </c>
      <c r="I76" s="17" t="s">
        <v>340</v>
      </c>
      <c r="J76" s="17"/>
      <c r="M76" t="e">
        <f t="shared" si="3"/>
        <v>#N/A</v>
      </c>
      <c r="N76" s="28" t="e">
        <f t="shared" si="4"/>
        <v>#N/A</v>
      </c>
      <c r="O76" s="28" t="e">
        <f t="shared" si="5"/>
        <v>#N/A</v>
      </c>
      <c r="P76" s="1" t="s">
        <v>74</v>
      </c>
      <c r="Q76" s="24" t="s">
        <v>276</v>
      </c>
    </row>
    <row r="77" spans="1:17" x14ac:dyDescent="0.25">
      <c r="A77">
        <v>76</v>
      </c>
      <c r="B77" t="s">
        <v>215</v>
      </c>
      <c r="H77" s="4" t="s">
        <v>75</v>
      </c>
      <c r="I77" s="17" t="s">
        <v>340</v>
      </c>
      <c r="J77" s="17"/>
      <c r="M77" t="e">
        <f t="shared" si="3"/>
        <v>#N/A</v>
      </c>
      <c r="N77" s="28" t="e">
        <f t="shared" si="4"/>
        <v>#N/A</v>
      </c>
      <c r="O77" s="28" t="e">
        <f t="shared" si="5"/>
        <v>#N/A</v>
      </c>
      <c r="P77" s="1" t="s">
        <v>75</v>
      </c>
      <c r="Q77" s="24" t="s">
        <v>95</v>
      </c>
    </row>
    <row r="78" spans="1:17" ht="30" x14ac:dyDescent="0.25">
      <c r="A78">
        <v>77</v>
      </c>
      <c r="B78" t="s">
        <v>216</v>
      </c>
      <c r="C78" t="s">
        <v>276</v>
      </c>
      <c r="H78" s="4" t="s">
        <v>76</v>
      </c>
      <c r="I78" s="16">
        <v>49</v>
      </c>
      <c r="J78" s="16" t="s">
        <v>190</v>
      </c>
      <c r="M78">
        <f t="shared" si="3"/>
        <v>49</v>
      </c>
      <c r="N78" s="28" t="str">
        <f t="shared" si="4"/>
        <v>Completed Visits</v>
      </c>
      <c r="O78" s="28" t="str">
        <f t="shared" si="5"/>
        <v>Yes</v>
      </c>
      <c r="P78" s="1" t="s">
        <v>76</v>
      </c>
      <c r="Q78" s="24" t="s">
        <v>369</v>
      </c>
    </row>
    <row r="79" spans="1:17" x14ac:dyDescent="0.25">
      <c r="A79">
        <v>78</v>
      </c>
      <c r="B79" t="s">
        <v>217</v>
      </c>
      <c r="C79" t="s">
        <v>95</v>
      </c>
      <c r="H79" s="4" t="s">
        <v>77</v>
      </c>
      <c r="I79" s="17" t="s">
        <v>340</v>
      </c>
      <c r="J79" s="17"/>
      <c r="M79" t="e">
        <f t="shared" si="3"/>
        <v>#N/A</v>
      </c>
      <c r="N79" s="28" t="e">
        <f t="shared" si="4"/>
        <v>#N/A</v>
      </c>
      <c r="O79" s="28" t="e">
        <f t="shared" si="5"/>
        <v>#N/A</v>
      </c>
      <c r="P79" s="1" t="s">
        <v>77</v>
      </c>
      <c r="Q79" s="24"/>
    </row>
    <row r="80" spans="1:17" ht="30" x14ac:dyDescent="0.25">
      <c r="A80">
        <v>79</v>
      </c>
      <c r="B80" t="s">
        <v>218</v>
      </c>
      <c r="C80" t="s">
        <v>356</v>
      </c>
      <c r="H80" s="4" t="s">
        <v>78</v>
      </c>
      <c r="I80" s="15">
        <v>106</v>
      </c>
      <c r="J80" s="15" t="s">
        <v>244</v>
      </c>
      <c r="M80">
        <f t="shared" si="3"/>
        <v>106</v>
      </c>
      <c r="N80" s="28" t="str">
        <f t="shared" si="4"/>
        <v>Entry_Status</v>
      </c>
      <c r="O80" s="28" t="str">
        <f t="shared" si="5"/>
        <v>Submitted</v>
      </c>
      <c r="P80" s="1" t="s">
        <v>78</v>
      </c>
      <c r="Q80" s="24" t="s">
        <v>102</v>
      </c>
    </row>
    <row r="81" spans="1:17" ht="60" x14ac:dyDescent="0.25">
      <c r="A81">
        <v>80</v>
      </c>
      <c r="B81" t="s">
        <v>219</v>
      </c>
      <c r="H81" s="4" t="s">
        <v>79</v>
      </c>
      <c r="I81" s="16">
        <v>103</v>
      </c>
      <c r="J81" s="16" t="s">
        <v>243</v>
      </c>
      <c r="M81">
        <f t="shared" si="3"/>
        <v>103</v>
      </c>
      <c r="N81" s="28" t="str">
        <f t="shared" si="4"/>
        <v>Merchant Need Discussed</v>
      </c>
      <c r="O81" s="28" t="str">
        <f t="shared" si="5"/>
        <v>Advertising (attract new customers)</v>
      </c>
      <c r="P81" s="1" t="s">
        <v>79</v>
      </c>
      <c r="Q81" s="24" t="s">
        <v>102</v>
      </c>
    </row>
    <row r="82" spans="1:17" x14ac:dyDescent="0.25">
      <c r="A82">
        <v>81</v>
      </c>
      <c r="B82" t="s">
        <v>220</v>
      </c>
      <c r="C82" t="s">
        <v>102</v>
      </c>
      <c r="H82" s="4" t="s">
        <v>80</v>
      </c>
      <c r="I82" s="17" t="s">
        <v>340</v>
      </c>
      <c r="J82" s="17"/>
      <c r="M82" t="e">
        <f t="shared" si="3"/>
        <v>#N/A</v>
      </c>
      <c r="N82" s="28" t="e">
        <f t="shared" si="4"/>
        <v>#N/A</v>
      </c>
      <c r="O82" s="28" t="e">
        <f t="shared" si="5"/>
        <v>#N/A</v>
      </c>
      <c r="P82" s="1" t="s">
        <v>80</v>
      </c>
      <c r="Q82" s="24" t="s">
        <v>307</v>
      </c>
    </row>
    <row r="83" spans="1:17" x14ac:dyDescent="0.25">
      <c r="A83">
        <v>82</v>
      </c>
      <c r="B83" t="s">
        <v>221</v>
      </c>
      <c r="C83" t="s">
        <v>102</v>
      </c>
      <c r="H83" s="4" t="s">
        <v>81</v>
      </c>
      <c r="I83" s="17" t="s">
        <v>340</v>
      </c>
      <c r="J83" s="17"/>
      <c r="M83" t="e">
        <f t="shared" si="3"/>
        <v>#N/A</v>
      </c>
      <c r="N83" s="28" t="e">
        <f t="shared" si="4"/>
        <v>#N/A</v>
      </c>
      <c r="O83" s="28" t="e">
        <f t="shared" si="5"/>
        <v>#N/A</v>
      </c>
      <c r="P83" s="1" t="s">
        <v>81</v>
      </c>
      <c r="Q83" s="24" t="s">
        <v>102</v>
      </c>
    </row>
    <row r="84" spans="1:17" x14ac:dyDescent="0.25">
      <c r="A84">
        <v>83</v>
      </c>
      <c r="B84" t="s">
        <v>222</v>
      </c>
      <c r="C84" t="s">
        <v>307</v>
      </c>
      <c r="H84" s="4" t="s">
        <v>82</v>
      </c>
      <c r="I84" s="17" t="s">
        <v>340</v>
      </c>
      <c r="J84" s="17"/>
      <c r="M84" t="e">
        <f t="shared" si="3"/>
        <v>#N/A</v>
      </c>
      <c r="N84" s="28" t="e">
        <f t="shared" si="4"/>
        <v>#N/A</v>
      </c>
      <c r="O84" s="28" t="e">
        <f t="shared" si="5"/>
        <v>#N/A</v>
      </c>
      <c r="P84" s="1" t="s">
        <v>82</v>
      </c>
      <c r="Q84" s="24"/>
    </row>
    <row r="85" spans="1:17" x14ac:dyDescent="0.25">
      <c r="A85">
        <v>84</v>
      </c>
      <c r="B85" t="s">
        <v>223</v>
      </c>
      <c r="C85" t="s">
        <v>102</v>
      </c>
      <c r="H85" s="4" t="s">
        <v>83</v>
      </c>
      <c r="I85" s="17" t="s">
        <v>340</v>
      </c>
      <c r="J85" s="17"/>
      <c r="M85" t="e">
        <f t="shared" si="3"/>
        <v>#N/A</v>
      </c>
      <c r="N85" s="28" t="e">
        <f t="shared" si="4"/>
        <v>#N/A</v>
      </c>
      <c r="O85" s="28" t="e">
        <f t="shared" si="5"/>
        <v>#N/A</v>
      </c>
      <c r="P85" s="1" t="s">
        <v>83</v>
      </c>
      <c r="Q85" s="24" t="s">
        <v>102</v>
      </c>
    </row>
    <row r="86" spans="1:17" x14ac:dyDescent="0.25">
      <c r="A86">
        <v>85</v>
      </c>
      <c r="B86" t="s">
        <v>224</v>
      </c>
      <c r="H86" s="4" t="s">
        <v>84</v>
      </c>
      <c r="I86" s="17" t="s">
        <v>340</v>
      </c>
      <c r="J86" s="17"/>
      <c r="M86" t="e">
        <f t="shared" si="3"/>
        <v>#N/A</v>
      </c>
      <c r="N86" s="28" t="e">
        <f t="shared" si="4"/>
        <v>#N/A</v>
      </c>
      <c r="O86" s="28" t="e">
        <f t="shared" si="5"/>
        <v>#N/A</v>
      </c>
      <c r="P86" s="1" t="s">
        <v>84</v>
      </c>
      <c r="Q86" s="24"/>
    </row>
    <row r="87" spans="1:17" x14ac:dyDescent="0.25">
      <c r="A87">
        <v>86</v>
      </c>
      <c r="B87" t="s">
        <v>225</v>
      </c>
      <c r="C87" t="s">
        <v>102</v>
      </c>
      <c r="H87" s="4" t="s">
        <v>85</v>
      </c>
      <c r="I87" s="17" t="s">
        <v>340</v>
      </c>
      <c r="J87" s="17"/>
      <c r="M87" t="e">
        <f t="shared" si="3"/>
        <v>#N/A</v>
      </c>
      <c r="N87" s="28" t="e">
        <f t="shared" si="4"/>
        <v>#N/A</v>
      </c>
      <c r="O87" s="28" t="e">
        <f t="shared" si="5"/>
        <v>#N/A</v>
      </c>
      <c r="P87" s="1" t="s">
        <v>85</v>
      </c>
      <c r="Q87" s="24"/>
    </row>
    <row r="88" spans="1:17" x14ac:dyDescent="0.25">
      <c r="A88">
        <v>87</v>
      </c>
      <c r="B88" t="s">
        <v>226</v>
      </c>
      <c r="H88" s="4" t="s">
        <v>86</v>
      </c>
      <c r="I88" s="17" t="s">
        <v>340</v>
      </c>
      <c r="J88" s="17"/>
      <c r="M88" t="e">
        <f t="shared" si="3"/>
        <v>#N/A</v>
      </c>
      <c r="N88" s="28" t="e">
        <f t="shared" si="4"/>
        <v>#N/A</v>
      </c>
      <c r="O88" s="28" t="e">
        <f t="shared" si="5"/>
        <v>#N/A</v>
      </c>
      <c r="P88" s="1" t="s">
        <v>86</v>
      </c>
      <c r="Q88" s="24" t="s">
        <v>102</v>
      </c>
    </row>
    <row r="89" spans="1:17" x14ac:dyDescent="0.25">
      <c r="A89">
        <v>88</v>
      </c>
      <c r="B89" t="s">
        <v>227</v>
      </c>
      <c r="H89" s="4" t="s">
        <v>87</v>
      </c>
      <c r="I89" s="17" t="s">
        <v>340</v>
      </c>
      <c r="J89" s="17"/>
      <c r="M89" t="e">
        <f t="shared" si="3"/>
        <v>#N/A</v>
      </c>
      <c r="N89" s="28" t="e">
        <f t="shared" si="4"/>
        <v>#N/A</v>
      </c>
      <c r="O89" s="28" t="e">
        <f t="shared" si="5"/>
        <v>#N/A</v>
      </c>
      <c r="P89" s="1" t="s">
        <v>87</v>
      </c>
      <c r="Q89" s="24" t="s">
        <v>102</v>
      </c>
    </row>
    <row r="90" spans="1:17" x14ac:dyDescent="0.25">
      <c r="A90">
        <v>89</v>
      </c>
      <c r="B90" t="s">
        <v>228</v>
      </c>
      <c r="C90" t="s">
        <v>102</v>
      </c>
      <c r="H90" s="4" t="s">
        <v>88</v>
      </c>
      <c r="I90" s="17" t="s">
        <v>340</v>
      </c>
      <c r="J90" s="17"/>
      <c r="M90" t="e">
        <f t="shared" si="3"/>
        <v>#N/A</v>
      </c>
      <c r="N90" s="28" t="e">
        <f t="shared" si="4"/>
        <v>#N/A</v>
      </c>
      <c r="O90" s="28" t="e">
        <f t="shared" si="5"/>
        <v>#N/A</v>
      </c>
      <c r="P90" s="1" t="s">
        <v>88</v>
      </c>
      <c r="Q90" s="24" t="s">
        <v>281</v>
      </c>
    </row>
    <row r="91" spans="1:17" x14ac:dyDescent="0.25">
      <c r="A91">
        <v>90</v>
      </c>
      <c r="B91" t="s">
        <v>229</v>
      </c>
      <c r="C91" t="s">
        <v>102</v>
      </c>
      <c r="M91" t="e">
        <f t="shared" si="3"/>
        <v>#N/A</v>
      </c>
      <c r="N91" s="28" t="e">
        <f t="shared" si="4"/>
        <v>#N/A</v>
      </c>
      <c r="O91" s="28" t="e">
        <f t="shared" si="5"/>
        <v>#N/A</v>
      </c>
      <c r="P91" s="27" t="s">
        <v>370</v>
      </c>
      <c r="Q91" s="24"/>
    </row>
    <row r="92" spans="1:17" x14ac:dyDescent="0.25">
      <c r="A92">
        <v>91</v>
      </c>
      <c r="B92" t="s">
        <v>230</v>
      </c>
      <c r="C92" t="s">
        <v>281</v>
      </c>
      <c r="M92" t="e">
        <f t="shared" si="3"/>
        <v>#N/A</v>
      </c>
      <c r="N92" s="28" t="e">
        <f t="shared" si="4"/>
        <v>#N/A</v>
      </c>
      <c r="O92" s="28" t="e">
        <f t="shared" si="5"/>
        <v>#N/A</v>
      </c>
      <c r="P92" s="27" t="s">
        <v>371</v>
      </c>
      <c r="Q92" s="24"/>
    </row>
    <row r="93" spans="1:17" x14ac:dyDescent="0.25">
      <c r="A93">
        <v>92</v>
      </c>
      <c r="B93" t="s">
        <v>231</v>
      </c>
      <c r="C93" t="s">
        <v>102</v>
      </c>
      <c r="P93" s="10"/>
    </row>
    <row r="94" spans="1:17" x14ac:dyDescent="0.25">
      <c r="A94">
        <v>93</v>
      </c>
      <c r="B94" t="s">
        <v>232</v>
      </c>
      <c r="P94" s="10"/>
    </row>
    <row r="95" spans="1:17" x14ac:dyDescent="0.25">
      <c r="A95">
        <v>94</v>
      </c>
      <c r="B95" t="s">
        <v>233</v>
      </c>
      <c r="C95" t="s">
        <v>102</v>
      </c>
      <c r="P95" s="10"/>
    </row>
    <row r="96" spans="1:17" x14ac:dyDescent="0.25">
      <c r="A96">
        <v>95</v>
      </c>
      <c r="B96" t="s">
        <v>234</v>
      </c>
      <c r="C96" t="s">
        <v>283</v>
      </c>
      <c r="P96" s="10"/>
    </row>
    <row r="97" spans="1:16" x14ac:dyDescent="0.25">
      <c r="A97">
        <v>96</v>
      </c>
      <c r="B97" t="s">
        <v>235</v>
      </c>
      <c r="C97" t="s">
        <v>102</v>
      </c>
      <c r="P97" s="10"/>
    </row>
    <row r="98" spans="1:16" x14ac:dyDescent="0.25">
      <c r="A98">
        <v>97</v>
      </c>
      <c r="B98" t="s">
        <v>236</v>
      </c>
      <c r="C98" t="s">
        <v>102</v>
      </c>
      <c r="P98" s="10"/>
    </row>
    <row r="99" spans="1:16" x14ac:dyDescent="0.25">
      <c r="A99">
        <v>98</v>
      </c>
      <c r="B99" t="s">
        <v>237</v>
      </c>
      <c r="C99" t="s">
        <v>102</v>
      </c>
      <c r="P99" s="10"/>
    </row>
    <row r="100" spans="1:16" x14ac:dyDescent="0.25">
      <c r="A100">
        <v>99</v>
      </c>
      <c r="B100" t="s">
        <v>238</v>
      </c>
      <c r="C100" t="s">
        <v>310</v>
      </c>
      <c r="P100" s="10"/>
    </row>
    <row r="101" spans="1:16" x14ac:dyDescent="0.25">
      <c r="A101">
        <v>100</v>
      </c>
      <c r="B101" t="s">
        <v>239</v>
      </c>
      <c r="C101" t="s">
        <v>311</v>
      </c>
      <c r="P101" s="10"/>
    </row>
    <row r="102" spans="1:16" x14ac:dyDescent="0.25">
      <c r="A102">
        <v>101</v>
      </c>
      <c r="B102" t="s">
        <v>240</v>
      </c>
      <c r="C102" t="s">
        <v>312</v>
      </c>
      <c r="P102" s="10"/>
    </row>
    <row r="103" spans="1:16" x14ac:dyDescent="0.25">
      <c r="A103">
        <v>102</v>
      </c>
      <c r="B103" t="s">
        <v>241</v>
      </c>
      <c r="C103" t="s">
        <v>357</v>
      </c>
      <c r="P103" s="10"/>
    </row>
    <row r="104" spans="1:16" x14ac:dyDescent="0.25">
      <c r="A104">
        <v>103</v>
      </c>
      <c r="B104" t="s">
        <v>242</v>
      </c>
      <c r="C104" t="s">
        <v>109</v>
      </c>
      <c r="P104" s="10"/>
    </row>
    <row r="105" spans="1:16" x14ac:dyDescent="0.25">
      <c r="A105">
        <v>104</v>
      </c>
      <c r="B105" t="s">
        <v>243</v>
      </c>
      <c r="C105" t="s">
        <v>102</v>
      </c>
      <c r="P105" s="10"/>
    </row>
    <row r="106" spans="1:16" x14ac:dyDescent="0.25">
      <c r="A106">
        <v>105</v>
      </c>
      <c r="B106" t="s">
        <v>19</v>
      </c>
      <c r="C106" t="s">
        <v>341</v>
      </c>
      <c r="P106" s="10"/>
    </row>
    <row r="107" spans="1:16" x14ac:dyDescent="0.25">
      <c r="A107">
        <v>106</v>
      </c>
      <c r="B107" t="s">
        <v>89</v>
      </c>
      <c r="C107" t="s">
        <v>289</v>
      </c>
      <c r="P107" s="10"/>
    </row>
    <row r="108" spans="1:16" x14ac:dyDescent="0.25">
      <c r="A108">
        <v>107</v>
      </c>
      <c r="B108" t="s">
        <v>244</v>
      </c>
      <c r="C108" s="11">
        <v>46128.870044780095</v>
      </c>
      <c r="P108" s="10"/>
    </row>
    <row r="109" spans="1:16" x14ac:dyDescent="0.25">
      <c r="P109" s="10"/>
    </row>
    <row r="110" spans="1:16" x14ac:dyDescent="0.25">
      <c r="P110" s="10"/>
    </row>
    <row r="111" spans="1:16" x14ac:dyDescent="0.25">
      <c r="P111" s="10"/>
    </row>
    <row r="112" spans="1:16" x14ac:dyDescent="0.25">
      <c r="P112" s="10"/>
    </row>
    <row r="113" spans="1:115" x14ac:dyDescent="0.25">
      <c r="B113" t="s">
        <v>372</v>
      </c>
      <c r="C113" t="s">
        <v>373</v>
      </c>
      <c r="D113" t="s">
        <v>374</v>
      </c>
      <c r="E113" t="s">
        <v>375</v>
      </c>
      <c r="F113" t="s">
        <v>376</v>
      </c>
      <c r="G113" t="s">
        <v>377</v>
      </c>
      <c r="H113" t="s">
        <v>378</v>
      </c>
      <c r="I113" t="s">
        <v>379</v>
      </c>
      <c r="J113" t="s">
        <v>380</v>
      </c>
      <c r="K113" t="s">
        <v>381</v>
      </c>
      <c r="L113" t="s">
        <v>382</v>
      </c>
      <c r="M113" t="s">
        <v>383</v>
      </c>
      <c r="N113" t="s">
        <v>384</v>
      </c>
      <c r="O113" t="s">
        <v>385</v>
      </c>
      <c r="P113" s="10" t="s">
        <v>386</v>
      </c>
      <c r="Q113" t="s">
        <v>387</v>
      </c>
      <c r="R113" t="s">
        <v>388</v>
      </c>
      <c r="S113" t="s">
        <v>389</v>
      </c>
      <c r="T113" t="s">
        <v>390</v>
      </c>
      <c r="U113" t="s">
        <v>391</v>
      </c>
      <c r="V113" t="s">
        <v>392</v>
      </c>
      <c r="W113" t="s">
        <v>393</v>
      </c>
      <c r="X113" t="s">
        <v>394</v>
      </c>
      <c r="Y113" t="s">
        <v>395</v>
      </c>
      <c r="Z113" t="s">
        <v>396</v>
      </c>
      <c r="AA113" t="s">
        <v>397</v>
      </c>
      <c r="AB113" t="s">
        <v>398</v>
      </c>
      <c r="AC113" t="s">
        <v>399</v>
      </c>
      <c r="AD113" t="s">
        <v>400</v>
      </c>
      <c r="AE113" t="s">
        <v>401</v>
      </c>
      <c r="AF113" t="s">
        <v>402</v>
      </c>
      <c r="AG113" t="s">
        <v>403</v>
      </c>
      <c r="AH113" t="s">
        <v>404</v>
      </c>
      <c r="AI113" t="s">
        <v>405</v>
      </c>
      <c r="AJ113" t="s">
        <v>406</v>
      </c>
      <c r="AK113" t="s">
        <v>407</v>
      </c>
      <c r="AL113" t="s">
        <v>408</v>
      </c>
      <c r="AM113" t="s">
        <v>409</v>
      </c>
      <c r="AN113" t="s">
        <v>410</v>
      </c>
      <c r="AO113" t="s">
        <v>411</v>
      </c>
      <c r="AP113" t="s">
        <v>412</v>
      </c>
      <c r="AQ113" t="s">
        <v>413</v>
      </c>
      <c r="AR113" t="s">
        <v>414</v>
      </c>
      <c r="AS113" t="s">
        <v>415</v>
      </c>
      <c r="AT113" t="s">
        <v>416</v>
      </c>
      <c r="AU113" t="s">
        <v>417</v>
      </c>
      <c r="AV113" t="s">
        <v>418</v>
      </c>
      <c r="AW113" t="s">
        <v>419</v>
      </c>
      <c r="AX113" t="s">
        <v>420</v>
      </c>
      <c r="AY113" t="s">
        <v>421</v>
      </c>
      <c r="AZ113" t="s">
        <v>422</v>
      </c>
      <c r="BA113" t="s">
        <v>423</v>
      </c>
      <c r="BB113" t="s">
        <v>424</v>
      </c>
      <c r="BC113" t="s">
        <v>425</v>
      </c>
      <c r="BD113" t="s">
        <v>426</v>
      </c>
      <c r="BE113" t="s">
        <v>427</v>
      </c>
      <c r="BF113" t="s">
        <v>428</v>
      </c>
      <c r="BG113" t="s">
        <v>429</v>
      </c>
      <c r="BH113" t="s">
        <v>430</v>
      </c>
      <c r="BI113" t="s">
        <v>431</v>
      </c>
      <c r="BJ113" t="s">
        <v>432</v>
      </c>
      <c r="BK113" t="s">
        <v>433</v>
      </c>
      <c r="BL113" t="s">
        <v>434</v>
      </c>
      <c r="BM113" t="s">
        <v>435</v>
      </c>
      <c r="BN113" t="s">
        <v>436</v>
      </c>
      <c r="BO113" t="s">
        <v>437</v>
      </c>
      <c r="BP113" t="s">
        <v>438</v>
      </c>
      <c r="BQ113" t="s">
        <v>439</v>
      </c>
      <c r="BR113" t="s">
        <v>440</v>
      </c>
      <c r="BS113" t="s">
        <v>441</v>
      </c>
      <c r="BT113" t="s">
        <v>442</v>
      </c>
      <c r="BU113" t="s">
        <v>443</v>
      </c>
      <c r="BV113" t="s">
        <v>444</v>
      </c>
      <c r="BW113" t="s">
        <v>445</v>
      </c>
      <c r="BX113" t="s">
        <v>446</v>
      </c>
      <c r="BY113" t="s">
        <v>447</v>
      </c>
      <c r="BZ113" t="s">
        <v>448</v>
      </c>
      <c r="CA113" t="s">
        <v>449</v>
      </c>
      <c r="CB113" t="s">
        <v>450</v>
      </c>
      <c r="CC113" t="s">
        <v>451</v>
      </c>
      <c r="CD113" t="s">
        <v>452</v>
      </c>
      <c r="CE113" t="s">
        <v>453</v>
      </c>
      <c r="CF113" t="s">
        <v>454</v>
      </c>
      <c r="CG113" t="s">
        <v>455</v>
      </c>
      <c r="CH113" t="s">
        <v>456</v>
      </c>
      <c r="CI113" t="s">
        <v>457</v>
      </c>
      <c r="CJ113" t="s">
        <v>458</v>
      </c>
      <c r="CK113" t="s">
        <v>459</v>
      </c>
      <c r="CL113" t="s">
        <v>460</v>
      </c>
      <c r="CM113" t="s">
        <v>461</v>
      </c>
      <c r="CN113" t="s">
        <v>462</v>
      </c>
      <c r="CO113" t="s">
        <v>463</v>
      </c>
      <c r="CP113" t="s">
        <v>464</v>
      </c>
      <c r="CQ113" t="s">
        <v>465</v>
      </c>
      <c r="CR113" t="s">
        <v>466</v>
      </c>
      <c r="CS113" t="s">
        <v>467</v>
      </c>
      <c r="CT113" t="s">
        <v>468</v>
      </c>
      <c r="CU113" t="s">
        <v>469</v>
      </c>
      <c r="CV113" t="s">
        <v>470</v>
      </c>
      <c r="CW113" t="s">
        <v>471</v>
      </c>
      <c r="CX113" t="s">
        <v>472</v>
      </c>
      <c r="CY113" t="s">
        <v>473</v>
      </c>
      <c r="CZ113" t="s">
        <v>474</v>
      </c>
      <c r="DA113" t="s">
        <v>475</v>
      </c>
      <c r="DB113" t="s">
        <v>476</v>
      </c>
      <c r="DC113" t="s">
        <v>477</v>
      </c>
      <c r="DD113" t="s">
        <v>478</v>
      </c>
      <c r="DE113" t="s">
        <v>479</v>
      </c>
      <c r="DF113" t="s">
        <v>480</v>
      </c>
      <c r="DG113" t="s">
        <v>481</v>
      </c>
      <c r="DH113" t="s">
        <v>482</v>
      </c>
      <c r="DI113" t="s">
        <v>483</v>
      </c>
      <c r="DJ113" t="s">
        <v>484</v>
      </c>
    </row>
    <row r="114" spans="1:115" x14ac:dyDescent="0.25">
      <c r="P114" s="10"/>
    </row>
    <row r="115" spans="1:115" x14ac:dyDescent="0.25">
      <c r="A115">
        <v>1</v>
      </c>
      <c r="B115" t="s">
        <v>372</v>
      </c>
      <c r="C115" t="s">
        <v>372</v>
      </c>
      <c r="D115" t="s">
        <v>373</v>
      </c>
      <c r="E115" t="s">
        <v>374</v>
      </c>
      <c r="F115" t="s">
        <v>375</v>
      </c>
      <c r="G115" t="s">
        <v>376</v>
      </c>
      <c r="H115" t="s">
        <v>377</v>
      </c>
      <c r="I115" t="s">
        <v>378</v>
      </c>
      <c r="J115" t="s">
        <v>379</v>
      </c>
      <c r="K115" t="s">
        <v>380</v>
      </c>
      <c r="L115" t="s">
        <v>381</v>
      </c>
      <c r="M115" t="s">
        <v>382</v>
      </c>
      <c r="N115" t="s">
        <v>383</v>
      </c>
      <c r="O115" t="s">
        <v>384</v>
      </c>
      <c r="P115" s="10" t="s">
        <v>385</v>
      </c>
      <c r="Q115" t="s">
        <v>386</v>
      </c>
      <c r="R115" t="s">
        <v>387</v>
      </c>
      <c r="S115" t="s">
        <v>388</v>
      </c>
      <c r="T115" t="s">
        <v>389</v>
      </c>
      <c r="U115" t="s">
        <v>390</v>
      </c>
      <c r="V115" t="s">
        <v>391</v>
      </c>
      <c r="W115" t="s">
        <v>392</v>
      </c>
      <c r="X115" t="s">
        <v>393</v>
      </c>
      <c r="Y115" t="s">
        <v>394</v>
      </c>
      <c r="Z115" t="s">
        <v>395</v>
      </c>
      <c r="AA115" t="s">
        <v>396</v>
      </c>
      <c r="AB115" t="s">
        <v>397</v>
      </c>
      <c r="AC115" t="s">
        <v>398</v>
      </c>
      <c r="AD115" t="s">
        <v>399</v>
      </c>
      <c r="AE115" t="s">
        <v>400</v>
      </c>
      <c r="AF115" t="s">
        <v>401</v>
      </c>
      <c r="AG115" t="s">
        <v>402</v>
      </c>
      <c r="AH115" t="s">
        <v>403</v>
      </c>
      <c r="AI115" t="s">
        <v>404</v>
      </c>
      <c r="AJ115" t="s">
        <v>405</v>
      </c>
      <c r="AK115" t="s">
        <v>406</v>
      </c>
      <c r="AL115" t="s">
        <v>407</v>
      </c>
      <c r="AM115" t="s">
        <v>408</v>
      </c>
      <c r="AN115" t="s">
        <v>409</v>
      </c>
      <c r="AO115" t="s">
        <v>410</v>
      </c>
      <c r="AP115" t="s">
        <v>412</v>
      </c>
      <c r="AQ115" t="s">
        <v>413</v>
      </c>
      <c r="AR115" t="s">
        <v>414</v>
      </c>
      <c r="AS115" t="s">
        <v>415</v>
      </c>
      <c r="AT115" t="s">
        <v>416</v>
      </c>
      <c r="AU115" t="s">
        <v>417</v>
      </c>
      <c r="AV115" t="s">
        <v>418</v>
      </c>
      <c r="AW115" t="s">
        <v>419</v>
      </c>
      <c r="AX115" t="s">
        <v>420</v>
      </c>
      <c r="AY115" t="s">
        <v>421</v>
      </c>
      <c r="AZ115" t="s">
        <v>422</v>
      </c>
      <c r="BA115" t="s">
        <v>423</v>
      </c>
      <c r="BB115" t="s">
        <v>424</v>
      </c>
      <c r="BC115" t="s">
        <v>425</v>
      </c>
      <c r="BD115" t="s">
        <v>426</v>
      </c>
      <c r="BE115" t="s">
        <v>427</v>
      </c>
      <c r="BF115" t="s">
        <v>428</v>
      </c>
      <c r="BG115" t="s">
        <v>429</v>
      </c>
      <c r="BH115" t="s">
        <v>430</v>
      </c>
      <c r="BI115" t="s">
        <v>431</v>
      </c>
      <c r="BJ115" t="s">
        <v>432</v>
      </c>
      <c r="BK115" t="s">
        <v>433</v>
      </c>
      <c r="BL115" t="s">
        <v>434</v>
      </c>
      <c r="BM115" t="s">
        <v>435</v>
      </c>
      <c r="BN115" t="s">
        <v>436</v>
      </c>
      <c r="BO115" t="s">
        <v>437</v>
      </c>
      <c r="BP115" t="s">
        <v>438</v>
      </c>
      <c r="BQ115" t="s">
        <v>439</v>
      </c>
      <c r="BR115" t="s">
        <v>440</v>
      </c>
      <c r="BS115" t="s">
        <v>441</v>
      </c>
      <c r="BT115" t="s">
        <v>442</v>
      </c>
      <c r="BU115" t="s">
        <v>443</v>
      </c>
      <c r="BV115" t="s">
        <v>444</v>
      </c>
      <c r="BW115" t="s">
        <v>445</v>
      </c>
      <c r="BX115" t="s">
        <v>446</v>
      </c>
      <c r="BY115" t="s">
        <v>447</v>
      </c>
      <c r="BZ115" t="s">
        <v>448</v>
      </c>
      <c r="CA115" t="s">
        <v>449</v>
      </c>
      <c r="CB115" t="s">
        <v>450</v>
      </c>
      <c r="CC115" t="s">
        <v>451</v>
      </c>
      <c r="CD115" t="s">
        <v>452</v>
      </c>
      <c r="CE115" t="s">
        <v>453</v>
      </c>
      <c r="CF115" t="s">
        <v>454</v>
      </c>
      <c r="CG115" t="s">
        <v>455</v>
      </c>
      <c r="CH115" t="s">
        <v>456</v>
      </c>
      <c r="CI115" t="s">
        <v>457</v>
      </c>
      <c r="CJ115" t="s">
        <v>458</v>
      </c>
      <c r="CK115" t="s">
        <v>459</v>
      </c>
      <c r="CL115" t="s">
        <v>460</v>
      </c>
      <c r="CM115" t="s">
        <v>461</v>
      </c>
      <c r="CN115" t="s">
        <v>462</v>
      </c>
      <c r="CO115" t="s">
        <v>463</v>
      </c>
      <c r="CP115" t="s">
        <v>464</v>
      </c>
      <c r="CQ115" t="s">
        <v>465</v>
      </c>
      <c r="CR115" t="s">
        <v>466</v>
      </c>
      <c r="CS115" t="s">
        <v>467</v>
      </c>
      <c r="CT115" t="s">
        <v>468</v>
      </c>
      <c r="CU115" t="s">
        <v>469</v>
      </c>
      <c r="CV115" t="s">
        <v>470</v>
      </c>
      <c r="CW115" t="s">
        <v>471</v>
      </c>
      <c r="CX115" t="s">
        <v>472</v>
      </c>
      <c r="CY115" t="s">
        <v>473</v>
      </c>
      <c r="CZ115" t="s">
        <v>474</v>
      </c>
      <c r="DA115" t="s">
        <v>475</v>
      </c>
      <c r="DB115" t="s">
        <v>476</v>
      </c>
      <c r="DC115" t="s">
        <v>477</v>
      </c>
      <c r="DD115" t="s">
        <v>478</v>
      </c>
      <c r="DE115" t="s">
        <v>479</v>
      </c>
      <c r="DF115" t="s">
        <v>480</v>
      </c>
      <c r="DG115" t="s">
        <v>481</v>
      </c>
      <c r="DH115" t="s">
        <v>482</v>
      </c>
      <c r="DI115" t="s">
        <v>411</v>
      </c>
      <c r="DJ115" t="s">
        <v>483</v>
      </c>
      <c r="DK115" t="s">
        <v>484</v>
      </c>
    </row>
    <row r="116" spans="1:115" x14ac:dyDescent="0.25">
      <c r="A116">
        <v>2</v>
      </c>
      <c r="B116" t="s">
        <v>373</v>
      </c>
      <c r="D116" t="s">
        <v>373</v>
      </c>
      <c r="P116" s="10"/>
    </row>
    <row r="117" spans="1:115" x14ac:dyDescent="0.25">
      <c r="A117">
        <v>3</v>
      </c>
      <c r="B117" t="s">
        <v>374</v>
      </c>
      <c r="D117" t="s">
        <v>374</v>
      </c>
      <c r="P117" s="10"/>
    </row>
    <row r="118" spans="1:115" x14ac:dyDescent="0.25">
      <c r="A118">
        <v>4</v>
      </c>
      <c r="B118" t="s">
        <v>375</v>
      </c>
      <c r="D118" t="s">
        <v>375</v>
      </c>
      <c r="P118" s="10"/>
    </row>
    <row r="119" spans="1:115" x14ac:dyDescent="0.25">
      <c r="A119">
        <v>5</v>
      </c>
      <c r="B119" t="s">
        <v>376</v>
      </c>
      <c r="D119" t="s">
        <v>376</v>
      </c>
      <c r="P119" s="10"/>
    </row>
    <row r="120" spans="1:115" x14ac:dyDescent="0.25">
      <c r="A120">
        <v>6</v>
      </c>
      <c r="B120" t="s">
        <v>377</v>
      </c>
      <c r="D120" t="s">
        <v>377</v>
      </c>
      <c r="P120" s="10"/>
    </row>
    <row r="121" spans="1:115" x14ac:dyDescent="0.25">
      <c r="A121">
        <v>7</v>
      </c>
      <c r="B121" t="s">
        <v>378</v>
      </c>
      <c r="D121" t="s">
        <v>378</v>
      </c>
      <c r="P121" s="10"/>
    </row>
    <row r="122" spans="1:115" x14ac:dyDescent="0.25">
      <c r="A122">
        <v>8</v>
      </c>
      <c r="B122" t="s">
        <v>379</v>
      </c>
      <c r="D122" t="s">
        <v>379</v>
      </c>
      <c r="P122" s="10"/>
    </row>
    <row r="123" spans="1:115" x14ac:dyDescent="0.25">
      <c r="A123">
        <v>9</v>
      </c>
      <c r="B123" t="s">
        <v>380</v>
      </c>
      <c r="D123" t="s">
        <v>380</v>
      </c>
      <c r="P123" s="10"/>
    </row>
    <row r="124" spans="1:115" x14ac:dyDescent="0.25">
      <c r="A124">
        <v>10</v>
      </c>
      <c r="B124" t="s">
        <v>381</v>
      </c>
      <c r="D124" t="s">
        <v>381</v>
      </c>
      <c r="P124" s="10"/>
    </row>
    <row r="125" spans="1:115" x14ac:dyDescent="0.25">
      <c r="A125">
        <v>11</v>
      </c>
      <c r="B125" t="s">
        <v>382</v>
      </c>
      <c r="D125" t="s">
        <v>382</v>
      </c>
      <c r="P125" s="10"/>
    </row>
    <row r="126" spans="1:115" x14ac:dyDescent="0.25">
      <c r="A126">
        <v>12</v>
      </c>
      <c r="B126" t="s">
        <v>383</v>
      </c>
      <c r="D126" t="s">
        <v>383</v>
      </c>
      <c r="P126" s="10"/>
    </row>
    <row r="127" spans="1:115" x14ac:dyDescent="0.25">
      <c r="A127">
        <v>13</v>
      </c>
      <c r="B127" t="s">
        <v>384</v>
      </c>
      <c r="D127" t="s">
        <v>384</v>
      </c>
      <c r="P127" s="10"/>
    </row>
    <row r="128" spans="1:115" x14ac:dyDescent="0.25">
      <c r="A128">
        <v>14</v>
      </c>
      <c r="B128" t="s">
        <v>385</v>
      </c>
      <c r="D128" s="10" t="s">
        <v>385</v>
      </c>
      <c r="P128" s="10"/>
    </row>
    <row r="129" spans="1:16" x14ac:dyDescent="0.25">
      <c r="A129">
        <v>15</v>
      </c>
      <c r="B129" t="s">
        <v>387</v>
      </c>
      <c r="D129" t="s">
        <v>386</v>
      </c>
      <c r="P129" s="10"/>
    </row>
    <row r="130" spans="1:16" x14ac:dyDescent="0.25">
      <c r="A130">
        <v>16</v>
      </c>
      <c r="B130" t="s">
        <v>388</v>
      </c>
      <c r="D130" t="s">
        <v>387</v>
      </c>
      <c r="P130" s="10"/>
    </row>
    <row r="131" spans="1:16" x14ac:dyDescent="0.25">
      <c r="A131">
        <v>17</v>
      </c>
      <c r="B131" t="s">
        <v>389</v>
      </c>
      <c r="D131" t="s">
        <v>388</v>
      </c>
      <c r="P131" s="10"/>
    </row>
    <row r="132" spans="1:16" x14ac:dyDescent="0.25">
      <c r="A132">
        <v>18</v>
      </c>
      <c r="B132" t="s">
        <v>390</v>
      </c>
      <c r="D132" t="s">
        <v>389</v>
      </c>
      <c r="P132" s="10"/>
    </row>
    <row r="133" spans="1:16" x14ac:dyDescent="0.25">
      <c r="A133">
        <v>19</v>
      </c>
      <c r="B133" t="s">
        <v>391</v>
      </c>
      <c r="D133" t="s">
        <v>390</v>
      </c>
      <c r="P133" s="10"/>
    </row>
    <row r="134" spans="1:16" x14ac:dyDescent="0.25">
      <c r="A134">
        <v>20</v>
      </c>
      <c r="B134" t="s">
        <v>392</v>
      </c>
      <c r="D134" t="s">
        <v>391</v>
      </c>
    </row>
    <row r="135" spans="1:16" x14ac:dyDescent="0.25">
      <c r="A135">
        <v>21</v>
      </c>
      <c r="B135" t="s">
        <v>393</v>
      </c>
      <c r="D135" t="s">
        <v>392</v>
      </c>
      <c r="P135" s="10"/>
    </row>
    <row r="136" spans="1:16" x14ac:dyDescent="0.25">
      <c r="A136">
        <v>22</v>
      </c>
      <c r="B136" t="s">
        <v>394</v>
      </c>
      <c r="D136" t="s">
        <v>393</v>
      </c>
    </row>
    <row r="137" spans="1:16" x14ac:dyDescent="0.25">
      <c r="A137">
        <v>23</v>
      </c>
      <c r="B137" t="s">
        <v>395</v>
      </c>
      <c r="D137" t="s">
        <v>394</v>
      </c>
    </row>
    <row r="138" spans="1:16" x14ac:dyDescent="0.25">
      <c r="A138">
        <v>24</v>
      </c>
      <c r="B138" t="s">
        <v>396</v>
      </c>
      <c r="D138" t="s">
        <v>395</v>
      </c>
    </row>
    <row r="139" spans="1:16" x14ac:dyDescent="0.25">
      <c r="A139">
        <v>25</v>
      </c>
      <c r="B139" t="s">
        <v>397</v>
      </c>
      <c r="D139" t="s">
        <v>396</v>
      </c>
    </row>
    <row r="140" spans="1:16" x14ac:dyDescent="0.25">
      <c r="A140">
        <v>26</v>
      </c>
      <c r="B140" t="s">
        <v>398</v>
      </c>
      <c r="D140" t="s">
        <v>397</v>
      </c>
    </row>
    <row r="141" spans="1:16" x14ac:dyDescent="0.25">
      <c r="A141">
        <v>27</v>
      </c>
      <c r="B141" t="s">
        <v>399</v>
      </c>
      <c r="D141" t="s">
        <v>398</v>
      </c>
    </row>
    <row r="142" spans="1:16" x14ac:dyDescent="0.25">
      <c r="A142">
        <v>28</v>
      </c>
      <c r="B142" t="s">
        <v>400</v>
      </c>
      <c r="D142" t="s">
        <v>399</v>
      </c>
    </row>
    <row r="143" spans="1:16" x14ac:dyDescent="0.25">
      <c r="A143">
        <v>29</v>
      </c>
      <c r="B143" t="s">
        <v>401</v>
      </c>
      <c r="D143" t="s">
        <v>400</v>
      </c>
    </row>
    <row r="144" spans="1:16" x14ac:dyDescent="0.25">
      <c r="A144">
        <v>30</v>
      </c>
      <c r="B144" t="s">
        <v>402</v>
      </c>
      <c r="D144" t="s">
        <v>401</v>
      </c>
    </row>
    <row r="145" spans="1:4" x14ac:dyDescent="0.25">
      <c r="A145">
        <v>31</v>
      </c>
      <c r="B145" t="s">
        <v>403</v>
      </c>
      <c r="D145" t="s">
        <v>402</v>
      </c>
    </row>
    <row r="146" spans="1:4" x14ac:dyDescent="0.25">
      <c r="A146">
        <v>32</v>
      </c>
      <c r="B146" t="s">
        <v>404</v>
      </c>
      <c r="D146" t="s">
        <v>403</v>
      </c>
    </row>
    <row r="147" spans="1:4" x14ac:dyDescent="0.25">
      <c r="A147">
        <v>33</v>
      </c>
      <c r="B147" t="s">
        <v>405</v>
      </c>
      <c r="D147" t="s">
        <v>404</v>
      </c>
    </row>
    <row r="148" spans="1:4" x14ac:dyDescent="0.25">
      <c r="A148">
        <v>34</v>
      </c>
      <c r="B148" t="s">
        <v>406</v>
      </c>
      <c r="D148" t="s">
        <v>405</v>
      </c>
    </row>
    <row r="149" spans="1:4" x14ac:dyDescent="0.25">
      <c r="A149">
        <v>35</v>
      </c>
      <c r="B149" t="s">
        <v>407</v>
      </c>
      <c r="D149" t="s">
        <v>406</v>
      </c>
    </row>
    <row r="150" spans="1:4" x14ac:dyDescent="0.25">
      <c r="A150">
        <v>36</v>
      </c>
      <c r="B150" t="s">
        <v>408</v>
      </c>
      <c r="D150" t="s">
        <v>407</v>
      </c>
    </row>
    <row r="151" spans="1:4" x14ac:dyDescent="0.25">
      <c r="A151">
        <v>37</v>
      </c>
      <c r="B151" t="s">
        <v>409</v>
      </c>
      <c r="D151" t="s">
        <v>408</v>
      </c>
    </row>
    <row r="152" spans="1:4" x14ac:dyDescent="0.25">
      <c r="A152">
        <v>38</v>
      </c>
      <c r="B152" t="s">
        <v>410</v>
      </c>
      <c r="D152" t="s">
        <v>409</v>
      </c>
    </row>
    <row r="153" spans="1:4" x14ac:dyDescent="0.25">
      <c r="A153">
        <v>39</v>
      </c>
      <c r="B153" t="s">
        <v>411</v>
      </c>
      <c r="D153" t="s">
        <v>410</v>
      </c>
    </row>
    <row r="154" spans="1:4" x14ac:dyDescent="0.25">
      <c r="A154">
        <v>40</v>
      </c>
      <c r="B154" t="s">
        <v>412</v>
      </c>
      <c r="D154" t="s">
        <v>412</v>
      </c>
    </row>
    <row r="155" spans="1:4" x14ac:dyDescent="0.25">
      <c r="A155">
        <v>41</v>
      </c>
      <c r="B155" t="s">
        <v>413</v>
      </c>
      <c r="D155" t="s">
        <v>413</v>
      </c>
    </row>
    <row r="156" spans="1:4" x14ac:dyDescent="0.25">
      <c r="A156">
        <v>42</v>
      </c>
      <c r="B156" t="s">
        <v>414</v>
      </c>
      <c r="D156" t="s">
        <v>414</v>
      </c>
    </row>
    <row r="157" spans="1:4" x14ac:dyDescent="0.25">
      <c r="A157">
        <v>43</v>
      </c>
      <c r="B157" t="s">
        <v>415</v>
      </c>
      <c r="D157" t="s">
        <v>415</v>
      </c>
    </row>
    <row r="158" spans="1:4" x14ac:dyDescent="0.25">
      <c r="A158">
        <v>44</v>
      </c>
      <c r="B158" t="s">
        <v>416</v>
      </c>
      <c r="D158" t="s">
        <v>416</v>
      </c>
    </row>
    <row r="159" spans="1:4" x14ac:dyDescent="0.25">
      <c r="A159">
        <v>45</v>
      </c>
      <c r="B159" t="s">
        <v>417</v>
      </c>
      <c r="D159" t="s">
        <v>417</v>
      </c>
    </row>
    <row r="160" spans="1:4" x14ac:dyDescent="0.25">
      <c r="A160">
        <v>46</v>
      </c>
      <c r="B160" t="s">
        <v>418</v>
      </c>
      <c r="D160" t="s">
        <v>418</v>
      </c>
    </row>
    <row r="161" spans="1:4" x14ac:dyDescent="0.25">
      <c r="A161">
        <v>47</v>
      </c>
      <c r="B161" t="s">
        <v>419</v>
      </c>
      <c r="D161" t="s">
        <v>419</v>
      </c>
    </row>
    <row r="162" spans="1:4" x14ac:dyDescent="0.25">
      <c r="A162">
        <v>48</v>
      </c>
      <c r="B162" t="s">
        <v>420</v>
      </c>
      <c r="D162" t="s">
        <v>420</v>
      </c>
    </row>
    <row r="163" spans="1:4" x14ac:dyDescent="0.25">
      <c r="A163">
        <v>49</v>
      </c>
      <c r="B163" t="s">
        <v>421</v>
      </c>
      <c r="D163" t="s">
        <v>421</v>
      </c>
    </row>
    <row r="164" spans="1:4" x14ac:dyDescent="0.25">
      <c r="A164">
        <v>50</v>
      </c>
      <c r="B164" t="s">
        <v>422</v>
      </c>
      <c r="D164" t="s">
        <v>422</v>
      </c>
    </row>
    <row r="165" spans="1:4" x14ac:dyDescent="0.25">
      <c r="A165">
        <v>51</v>
      </c>
      <c r="B165" t="s">
        <v>423</v>
      </c>
      <c r="D165" t="s">
        <v>423</v>
      </c>
    </row>
    <row r="166" spans="1:4" x14ac:dyDescent="0.25">
      <c r="A166">
        <v>52</v>
      </c>
      <c r="B166" t="s">
        <v>424</v>
      </c>
      <c r="D166" t="s">
        <v>424</v>
      </c>
    </row>
    <row r="167" spans="1:4" x14ac:dyDescent="0.25">
      <c r="A167">
        <v>53</v>
      </c>
      <c r="B167" t="s">
        <v>425</v>
      </c>
      <c r="D167" t="s">
        <v>425</v>
      </c>
    </row>
    <row r="168" spans="1:4" x14ac:dyDescent="0.25">
      <c r="A168">
        <v>54</v>
      </c>
      <c r="B168" t="s">
        <v>426</v>
      </c>
      <c r="D168" t="s">
        <v>426</v>
      </c>
    </row>
    <row r="169" spans="1:4" x14ac:dyDescent="0.25">
      <c r="A169">
        <v>55</v>
      </c>
      <c r="B169" t="s">
        <v>427</v>
      </c>
      <c r="D169" t="s">
        <v>427</v>
      </c>
    </row>
    <row r="170" spans="1:4" x14ac:dyDescent="0.25">
      <c r="A170">
        <v>56</v>
      </c>
      <c r="B170" t="s">
        <v>428</v>
      </c>
      <c r="D170" t="s">
        <v>428</v>
      </c>
    </row>
    <row r="171" spans="1:4" x14ac:dyDescent="0.25">
      <c r="A171">
        <v>57</v>
      </c>
      <c r="B171" t="s">
        <v>429</v>
      </c>
      <c r="D171" t="s">
        <v>429</v>
      </c>
    </row>
    <row r="172" spans="1:4" x14ac:dyDescent="0.25">
      <c r="A172">
        <v>58</v>
      </c>
      <c r="B172" t="s">
        <v>430</v>
      </c>
      <c r="D172" t="s">
        <v>430</v>
      </c>
    </row>
    <row r="173" spans="1:4" x14ac:dyDescent="0.25">
      <c r="A173">
        <v>59</v>
      </c>
      <c r="B173" t="s">
        <v>431</v>
      </c>
      <c r="D173" t="s">
        <v>431</v>
      </c>
    </row>
    <row r="174" spans="1:4" x14ac:dyDescent="0.25">
      <c r="A174">
        <v>60</v>
      </c>
      <c r="B174" t="s">
        <v>432</v>
      </c>
      <c r="D174" t="s">
        <v>432</v>
      </c>
    </row>
    <row r="175" spans="1:4" x14ac:dyDescent="0.25">
      <c r="A175">
        <v>61</v>
      </c>
      <c r="B175" t="s">
        <v>433</v>
      </c>
      <c r="D175" t="s">
        <v>433</v>
      </c>
    </row>
    <row r="176" spans="1:4" x14ac:dyDescent="0.25">
      <c r="A176">
        <v>62</v>
      </c>
      <c r="B176" t="s">
        <v>434</v>
      </c>
      <c r="D176" t="s">
        <v>434</v>
      </c>
    </row>
    <row r="177" spans="1:4" x14ac:dyDescent="0.25">
      <c r="A177">
        <v>63</v>
      </c>
      <c r="B177" t="s">
        <v>435</v>
      </c>
      <c r="D177" t="s">
        <v>435</v>
      </c>
    </row>
    <row r="178" spans="1:4" x14ac:dyDescent="0.25">
      <c r="A178">
        <v>64</v>
      </c>
      <c r="B178" t="s">
        <v>436</v>
      </c>
      <c r="D178" t="s">
        <v>436</v>
      </c>
    </row>
    <row r="179" spans="1:4" x14ac:dyDescent="0.25">
      <c r="A179">
        <v>65</v>
      </c>
      <c r="B179" t="s">
        <v>437</v>
      </c>
      <c r="D179" t="s">
        <v>437</v>
      </c>
    </row>
    <row r="180" spans="1:4" x14ac:dyDescent="0.25">
      <c r="A180">
        <v>66</v>
      </c>
      <c r="B180" t="s">
        <v>438</v>
      </c>
      <c r="D180" t="s">
        <v>438</v>
      </c>
    </row>
    <row r="181" spans="1:4" x14ac:dyDescent="0.25">
      <c r="A181">
        <v>67</v>
      </c>
      <c r="B181" t="s">
        <v>439</v>
      </c>
      <c r="D181" t="s">
        <v>439</v>
      </c>
    </row>
    <row r="182" spans="1:4" x14ac:dyDescent="0.25">
      <c r="A182">
        <v>68</v>
      </c>
      <c r="B182" t="s">
        <v>440</v>
      </c>
      <c r="D182" t="s">
        <v>440</v>
      </c>
    </row>
    <row r="183" spans="1:4" x14ac:dyDescent="0.25">
      <c r="A183">
        <v>69</v>
      </c>
      <c r="B183" t="s">
        <v>441</v>
      </c>
      <c r="D183" t="s">
        <v>441</v>
      </c>
    </row>
    <row r="184" spans="1:4" x14ac:dyDescent="0.25">
      <c r="A184">
        <v>70</v>
      </c>
      <c r="B184" t="s">
        <v>442</v>
      </c>
      <c r="D184" t="s">
        <v>442</v>
      </c>
    </row>
    <row r="185" spans="1:4" x14ac:dyDescent="0.25">
      <c r="A185">
        <v>71</v>
      </c>
      <c r="B185" t="s">
        <v>443</v>
      </c>
      <c r="D185" t="s">
        <v>443</v>
      </c>
    </row>
    <row r="186" spans="1:4" x14ac:dyDescent="0.25">
      <c r="A186">
        <v>72</v>
      </c>
      <c r="B186" t="s">
        <v>444</v>
      </c>
      <c r="D186" t="s">
        <v>444</v>
      </c>
    </row>
    <row r="187" spans="1:4" x14ac:dyDescent="0.25">
      <c r="A187">
        <v>73</v>
      </c>
      <c r="B187" t="s">
        <v>445</v>
      </c>
      <c r="D187" t="s">
        <v>445</v>
      </c>
    </row>
    <row r="188" spans="1:4" x14ac:dyDescent="0.25">
      <c r="A188">
        <v>74</v>
      </c>
      <c r="B188" t="s">
        <v>446</v>
      </c>
      <c r="D188" t="s">
        <v>446</v>
      </c>
    </row>
    <row r="189" spans="1:4" x14ac:dyDescent="0.25">
      <c r="A189">
        <v>75</v>
      </c>
      <c r="B189" t="s">
        <v>447</v>
      </c>
      <c r="D189" t="s">
        <v>447</v>
      </c>
    </row>
    <row r="190" spans="1:4" x14ac:dyDescent="0.25">
      <c r="A190">
        <v>76</v>
      </c>
      <c r="B190" t="s">
        <v>448</v>
      </c>
      <c r="D190" t="s">
        <v>448</v>
      </c>
    </row>
    <row r="191" spans="1:4" x14ac:dyDescent="0.25">
      <c r="A191">
        <v>77</v>
      </c>
      <c r="B191" t="s">
        <v>449</v>
      </c>
      <c r="D191" t="s">
        <v>449</v>
      </c>
    </row>
    <row r="192" spans="1:4" x14ac:dyDescent="0.25">
      <c r="A192">
        <v>78</v>
      </c>
      <c r="B192" t="s">
        <v>450</v>
      </c>
      <c r="D192" t="s">
        <v>450</v>
      </c>
    </row>
    <row r="193" spans="1:4" x14ac:dyDescent="0.25">
      <c r="A193">
        <v>79</v>
      </c>
      <c r="B193" t="s">
        <v>451</v>
      </c>
      <c r="D193" t="s">
        <v>451</v>
      </c>
    </row>
    <row r="194" spans="1:4" x14ac:dyDescent="0.25">
      <c r="A194">
        <v>80</v>
      </c>
      <c r="B194" t="s">
        <v>452</v>
      </c>
      <c r="D194" t="s">
        <v>452</v>
      </c>
    </row>
    <row r="195" spans="1:4" x14ac:dyDescent="0.25">
      <c r="A195">
        <v>81</v>
      </c>
      <c r="B195" t="s">
        <v>453</v>
      </c>
      <c r="D195" t="s">
        <v>453</v>
      </c>
    </row>
    <row r="196" spans="1:4" x14ac:dyDescent="0.25">
      <c r="A196">
        <v>82</v>
      </c>
      <c r="B196" t="s">
        <v>454</v>
      </c>
      <c r="D196" t="s">
        <v>454</v>
      </c>
    </row>
    <row r="197" spans="1:4" x14ac:dyDescent="0.25">
      <c r="A197">
        <v>83</v>
      </c>
      <c r="B197" t="s">
        <v>455</v>
      </c>
      <c r="D197" t="s">
        <v>455</v>
      </c>
    </row>
    <row r="198" spans="1:4" x14ac:dyDescent="0.25">
      <c r="A198">
        <v>84</v>
      </c>
      <c r="B198" t="s">
        <v>456</v>
      </c>
      <c r="D198" t="s">
        <v>456</v>
      </c>
    </row>
    <row r="199" spans="1:4" x14ac:dyDescent="0.25">
      <c r="A199">
        <v>85</v>
      </c>
      <c r="B199" t="s">
        <v>457</v>
      </c>
      <c r="D199" t="s">
        <v>457</v>
      </c>
    </row>
    <row r="200" spans="1:4" x14ac:dyDescent="0.25">
      <c r="A200">
        <v>86</v>
      </c>
      <c r="B200" t="s">
        <v>458</v>
      </c>
      <c r="D200" t="s">
        <v>458</v>
      </c>
    </row>
    <row r="201" spans="1:4" x14ac:dyDescent="0.25">
      <c r="A201">
        <v>87</v>
      </c>
      <c r="B201" t="s">
        <v>459</v>
      </c>
      <c r="D201" t="s">
        <v>459</v>
      </c>
    </row>
    <row r="202" spans="1:4" x14ac:dyDescent="0.25">
      <c r="A202">
        <v>88</v>
      </c>
      <c r="B202" t="s">
        <v>460</v>
      </c>
      <c r="D202" t="s">
        <v>460</v>
      </c>
    </row>
    <row r="203" spans="1:4" x14ac:dyDescent="0.25">
      <c r="A203">
        <v>89</v>
      </c>
      <c r="B203" t="s">
        <v>461</v>
      </c>
      <c r="D203" t="s">
        <v>461</v>
      </c>
    </row>
    <row r="204" spans="1:4" x14ac:dyDescent="0.25">
      <c r="A204">
        <v>90</v>
      </c>
      <c r="B204" t="s">
        <v>462</v>
      </c>
      <c r="D204" t="s">
        <v>462</v>
      </c>
    </row>
    <row r="205" spans="1:4" x14ac:dyDescent="0.25">
      <c r="A205">
        <v>91</v>
      </c>
      <c r="B205" t="s">
        <v>463</v>
      </c>
      <c r="D205" t="s">
        <v>463</v>
      </c>
    </row>
    <row r="206" spans="1:4" x14ac:dyDescent="0.25">
      <c r="A206">
        <v>92</v>
      </c>
      <c r="B206" t="s">
        <v>464</v>
      </c>
      <c r="D206" t="s">
        <v>464</v>
      </c>
    </row>
    <row r="207" spans="1:4" x14ac:dyDescent="0.25">
      <c r="A207">
        <v>93</v>
      </c>
      <c r="B207" t="s">
        <v>465</v>
      </c>
      <c r="D207" t="s">
        <v>465</v>
      </c>
    </row>
    <row r="208" spans="1:4" x14ac:dyDescent="0.25">
      <c r="A208">
        <v>94</v>
      </c>
      <c r="B208" t="s">
        <v>466</v>
      </c>
      <c r="D208" t="s">
        <v>466</v>
      </c>
    </row>
    <row r="209" spans="1:4" x14ac:dyDescent="0.25">
      <c r="A209">
        <v>95</v>
      </c>
      <c r="B209" t="s">
        <v>467</v>
      </c>
      <c r="D209" t="s">
        <v>467</v>
      </c>
    </row>
    <row r="210" spans="1:4" x14ac:dyDescent="0.25">
      <c r="A210">
        <v>96</v>
      </c>
      <c r="B210" t="s">
        <v>468</v>
      </c>
      <c r="D210" t="s">
        <v>468</v>
      </c>
    </row>
    <row r="211" spans="1:4" x14ac:dyDescent="0.25">
      <c r="A211">
        <v>97</v>
      </c>
      <c r="B211" t="s">
        <v>469</v>
      </c>
      <c r="D211" t="s">
        <v>469</v>
      </c>
    </row>
    <row r="212" spans="1:4" x14ac:dyDescent="0.25">
      <c r="A212">
        <v>98</v>
      </c>
      <c r="B212" t="s">
        <v>470</v>
      </c>
      <c r="D212" t="s">
        <v>470</v>
      </c>
    </row>
    <row r="213" spans="1:4" x14ac:dyDescent="0.25">
      <c r="A213">
        <v>99</v>
      </c>
      <c r="B213" t="s">
        <v>471</v>
      </c>
      <c r="D213" t="s">
        <v>471</v>
      </c>
    </row>
    <row r="214" spans="1:4" x14ac:dyDescent="0.25">
      <c r="A214">
        <v>100</v>
      </c>
      <c r="B214" t="s">
        <v>472</v>
      </c>
      <c r="D214" t="s">
        <v>472</v>
      </c>
    </row>
    <row r="215" spans="1:4" x14ac:dyDescent="0.25">
      <c r="A215">
        <v>101</v>
      </c>
      <c r="B215" t="s">
        <v>473</v>
      </c>
      <c r="D215" t="s">
        <v>473</v>
      </c>
    </row>
    <row r="216" spans="1:4" x14ac:dyDescent="0.25">
      <c r="A216">
        <v>102</v>
      </c>
      <c r="B216" t="s">
        <v>474</v>
      </c>
      <c r="D216" t="s">
        <v>474</v>
      </c>
    </row>
    <row r="217" spans="1:4" x14ac:dyDescent="0.25">
      <c r="A217">
        <v>103</v>
      </c>
      <c r="B217" t="s">
        <v>475</v>
      </c>
      <c r="D217" t="s">
        <v>475</v>
      </c>
    </row>
    <row r="218" spans="1:4" x14ac:dyDescent="0.25">
      <c r="A218">
        <v>104</v>
      </c>
      <c r="B218" t="s">
        <v>476</v>
      </c>
      <c r="D218" t="s">
        <v>476</v>
      </c>
    </row>
    <row r="219" spans="1:4" x14ac:dyDescent="0.25">
      <c r="A219">
        <v>105</v>
      </c>
      <c r="B219" t="s">
        <v>477</v>
      </c>
      <c r="D219" t="s">
        <v>477</v>
      </c>
    </row>
    <row r="220" spans="1:4" x14ac:dyDescent="0.25">
      <c r="A220">
        <v>106</v>
      </c>
      <c r="B220" t="s">
        <v>478</v>
      </c>
      <c r="D220" t="s">
        <v>478</v>
      </c>
    </row>
    <row r="221" spans="1:4" x14ac:dyDescent="0.25">
      <c r="A221">
        <v>107</v>
      </c>
      <c r="B221" t="s">
        <v>479</v>
      </c>
      <c r="D221" t="s">
        <v>479</v>
      </c>
    </row>
    <row r="222" spans="1:4" x14ac:dyDescent="0.25">
      <c r="A222">
        <v>108</v>
      </c>
      <c r="B222" t="s">
        <v>480</v>
      </c>
      <c r="D222" t="s">
        <v>480</v>
      </c>
    </row>
    <row r="223" spans="1:4" x14ac:dyDescent="0.25">
      <c r="A223">
        <v>109</v>
      </c>
      <c r="B223" t="s">
        <v>481</v>
      </c>
      <c r="D223" t="s">
        <v>481</v>
      </c>
    </row>
    <row r="224" spans="1:4" x14ac:dyDescent="0.25">
      <c r="A224">
        <v>110</v>
      </c>
      <c r="B224" t="s">
        <v>482</v>
      </c>
      <c r="D224" t="s">
        <v>482</v>
      </c>
    </row>
    <row r="225" spans="1:4" x14ac:dyDescent="0.25">
      <c r="A225">
        <v>111</v>
      </c>
      <c r="B225" t="s">
        <v>483</v>
      </c>
      <c r="D225" t="s">
        <v>411</v>
      </c>
    </row>
    <row r="226" spans="1:4" x14ac:dyDescent="0.25">
      <c r="A226">
        <v>112</v>
      </c>
      <c r="B226" t="s">
        <v>484</v>
      </c>
      <c r="D226" t="s">
        <v>483</v>
      </c>
    </row>
    <row r="227" spans="1:4" x14ac:dyDescent="0.25">
      <c r="D227" t="s">
        <v>484</v>
      </c>
    </row>
  </sheetData>
  <conditionalFormatting sqref="Q3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</conditionalFormatting>
  <conditionalFormatting sqref="Q86:Q92 P91:P92">
    <cfRule type="duplicateValues" dxfId="1" priority="6"/>
  </conditionalFormatting>
  <conditionalFormatting sqref="Q129:Q135 P134:P135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Template</vt:lpstr>
      <vt:lpstr>Columnas Reporte</vt:lpstr>
      <vt:lpstr>Odoo Report</vt:lpstr>
      <vt:lpstr>Match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Gonzalo Quezada</dc:creator>
  <cp:keywords/>
  <dc:description/>
  <cp:lastModifiedBy>Gonzalo Quezada</cp:lastModifiedBy>
  <cp:revision/>
  <dcterms:created xsi:type="dcterms:W3CDTF">2026-04-06T19:10:05Z</dcterms:created>
  <dcterms:modified xsi:type="dcterms:W3CDTF">2026-05-02T23:51:06Z</dcterms:modified>
  <cp:category/>
  <cp:contentStatus/>
</cp:coreProperties>
</file>